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Roller &amp; Ortam" sheetId="3" state="visible" r:id="rId3"/>
    <sheet xmlns:r="http://schemas.openxmlformats.org/officeDocument/2006/relationships" name="01 · Kimlik Doğrulama" sheetId="4" state="visible" r:id="rId4"/>
    <sheet xmlns:r="http://schemas.openxmlformats.org/officeDocument/2006/relationships" name="02 · Panel &amp; Yönetici Özeti" sheetId="5" state="visible" r:id="rId5"/>
    <sheet xmlns:r="http://schemas.openxmlformats.org/officeDocument/2006/relationships" name="03 · Analitik" sheetId="6" state="visible" r:id="rId6"/>
    <sheet xmlns:r="http://schemas.openxmlformats.org/officeDocument/2006/relationships" name="04 · Ticket Operasyonu" sheetId="7" state="visible" r:id="rId7"/>
    <sheet xmlns:r="http://schemas.openxmlformats.org/officeDocument/2006/relationships" name="05 · Veri Yükleme" sheetId="8" state="visible" r:id="rId8"/>
    <sheet xmlns:r="http://schemas.openxmlformats.org/officeDocument/2006/relationships" name="06 · Aksiyon &amp; Uyarılar" sheetId="9" state="visible" r:id="rId9"/>
    <sheet xmlns:r="http://schemas.openxmlformats.org/officeDocument/2006/relationships" name="07 · Ayarlar" sheetId="10" state="visible" r:id="rId10"/>
    <sheet xmlns:r="http://schemas.openxmlformats.org/officeDocument/2006/relationships" name="08 · Yönetim - Admin" sheetId="11" state="visible" r:id="rId11"/>
    <sheet xmlns:r="http://schemas.openxmlformats.org/officeDocument/2006/relationships" name="09 · Roller &amp; Yetkiler (RBAC)" sheetId="12" state="visible" r:id="rId12"/>
    <sheet xmlns:r="http://schemas.openxmlformats.org/officeDocument/2006/relationships" name="10 · Genel - Çapraz" sheetId="13" state="visible" r:id="rId13"/>
    <sheet xmlns:r="http://schemas.openxmlformats.org/officeDocument/2006/relationships" name="Hata Kaydı" sheetId="14" state="visible" r:id="rId14"/>
  </sheets>
  <definedNames>
    <definedName name="_xlnm._FilterDatabase" localSheetId="3" hidden="1">'01 · Kimlik Doğrulama'!$A$2:$L$17</definedName>
    <definedName name="_xlnm._FilterDatabase" localSheetId="4" hidden="1">'02 · Panel &amp; Yönetici Özeti'!$A$2:$L$20</definedName>
    <definedName name="_xlnm._FilterDatabase" localSheetId="5" hidden="1">'03 · Analitik'!$A$2:$L$17</definedName>
    <definedName name="_xlnm._FilterDatabase" localSheetId="6" hidden="1">'04 · Ticket Operasyonu'!$A$2:$L$27</definedName>
    <definedName name="_xlnm._FilterDatabase" localSheetId="7" hidden="1">'05 · Veri Yükleme'!$A$2:$L$26</definedName>
    <definedName name="_xlnm._FilterDatabase" localSheetId="8" hidden="1">'06 · Aksiyon &amp; Uyarılar'!$A$2:$L$13</definedName>
    <definedName name="_xlnm._FilterDatabase" localSheetId="9" hidden="1">'07 · Ayarlar'!$A$2:$L$18</definedName>
    <definedName name="_xlnm._FilterDatabase" localSheetId="10" hidden="1">'08 · Yönetim - Admin'!$A$2:$L$14</definedName>
    <definedName name="_xlnm._FilterDatabase" localSheetId="11" hidden="1">'09 · Roller &amp; Yetkiler (RBAC)'!$A$2:$L$8</definedName>
    <definedName name="_xlnm._FilterDatabase" localSheetId="12" hidden="1">'10 · Genel - Çapraz'!$A$2:$L$13</definedName>
    <definedName name="_xlnm._FilterDatabase" localSheetId="13" hidden="1">'Hata Kaydı'!$A$2:$M$42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  <font>
      <b val="1"/>
      <color rgb="001F3A4D"/>
      <sz val="20"/>
    </font>
    <font>
      <i val="1"/>
      <color rgb="00555555"/>
      <sz val="11"/>
    </font>
    <font>
      <b val="1"/>
      <color rgb="002E6E8E"/>
    </font>
    <font>
      <b val="1"/>
      <color rgb="001F3A4D"/>
      <sz val="13"/>
    </font>
    <font>
      <b val="1"/>
      <color rgb="001F3A4D"/>
      <sz val="12"/>
    </font>
    <font>
      <b val="1"/>
      <color rgb="00006100"/>
    </font>
    <font>
      <b val="1"/>
      <color rgb="009C0006"/>
    </font>
    <font>
      <b val="1"/>
      <color rgb="009C6500"/>
    </font>
    <font>
      <b val="1"/>
      <color rgb="00595959"/>
    </font>
    <font>
      <b val="1"/>
      <color rgb="001F3A4D"/>
      <sz val="16"/>
    </font>
    <font>
      <b val="1"/>
      <color rgb="00FFFFFF"/>
    </font>
    <font>
      <b val="1"/>
      <color rgb="001F3A4D"/>
    </font>
    <font>
      <b val="1"/>
      <color rgb="001F3A4D"/>
      <sz val="15"/>
    </font>
    <font>
      <b val="1"/>
      <color rgb="002E6E8E"/>
      <sz val="12"/>
    </font>
  </fonts>
  <fills count="10">
    <fill>
      <patternFill/>
    </fill>
    <fill>
      <patternFill patternType="gray125"/>
    </fill>
    <fill>
      <patternFill patternType="solid">
        <fgColor rgb="000E2A38"/>
      </patternFill>
    </fill>
    <fill>
      <patternFill patternType="solid">
        <fgColor rgb="002E6E8E"/>
      </patternFill>
    </fill>
    <fill>
      <patternFill patternType="solid">
        <fgColor rgb="00F2F7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BBCAD3"/>
      </left>
      <right style="thin">
        <color rgb="00BBCAD3"/>
      </right>
      <top style="thin">
        <color rgb="00BBCAD3"/>
      </top>
      <bottom style="thin">
        <color rgb="00BBCAD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9" fontId="14" fillId="9" borderId="1" applyAlignment="1" pivotButton="0" quotePrefix="0" xfId="0">
      <alignment horizontal="center" vertical="center"/>
    </xf>
    <xf numFmtId="0" fontId="15" fillId="0" borderId="0" pivotButton="0" quotePrefix="0" xfId="0"/>
    <xf numFmtId="0" fontId="0" fillId="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1" fillId="2" borderId="0" applyAlignment="1" pivotButton="0" quotePrefix="0" xfId="0">
      <alignment vertical="center" inden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UAT Durum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'Özet'!$B$18:$B$21</f>
            </numRef>
          </cat>
          <val>
            <numRef>
              <f>'Özet'!$C$18:$C$21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 ht="34" customHeight="1">
      <c r="B2" s="1" t="inlineStr">
        <is>
          <t>İmga.AI — Kullanıcı Kabul Testi (UAT)</t>
        </is>
      </c>
    </row>
    <row r="3">
      <c r="B3" s="2" t="inlineStr">
        <is>
          <t>Web Paneli · app.imga.ai · İş kullanıcısı gözüyle uçtan uca kabul testi</t>
        </is>
      </c>
    </row>
    <row r="5" ht="28" customHeight="1">
      <c r="B5" s="3" t="inlineStr">
        <is>
          <t>Ürün</t>
        </is>
      </c>
      <c r="C5" s="4" t="inlineStr">
        <is>
          <t>İmga.AI — Türkçe müşteri yorumu analiz platformu</t>
        </is>
      </c>
    </row>
    <row r="6" ht="28" customHeight="1">
      <c r="B6" s="3" t="inlineStr">
        <is>
          <t>Kapsam</t>
        </is>
      </c>
      <c r="C6" s="4" t="inlineStr">
        <is>
          <t>Web paneli (login, panel, analitik, ticket, veri yükleme, aksiyon, ayarlar, admin, roller, çaprazlar)</t>
        </is>
      </c>
    </row>
    <row r="7" ht="28" customHeight="1">
      <c r="B7" s="3" t="inlineStr">
        <is>
          <t>Ortam</t>
        </is>
      </c>
      <c r="C7" s="4" t="inlineStr">
        <is>
          <t>Staging: https://staging.imga.ai  (tercih)   ·   Prod smoke: https://app.imga.ai</t>
        </is>
      </c>
    </row>
    <row r="8" ht="28" customHeight="1">
      <c r="B8" s="3" t="inlineStr">
        <is>
          <t>Sürüm / Tarih</t>
        </is>
      </c>
      <c r="C8" s="4" t="inlineStr">
        <is>
          <t>v1.0  ·  __ / __ / 2026</t>
        </is>
      </c>
    </row>
    <row r="9" ht="28" customHeight="1">
      <c r="B9" s="3" t="inlineStr">
        <is>
          <t>Toplam senaryo</t>
        </is>
      </c>
      <c r="C9" s="4" t="inlineStr">
        <is>
          <t>153 senaryo / 10 modül</t>
        </is>
      </c>
    </row>
    <row r="10" ht="28" customHeight="1">
      <c r="B10" s="3" t="inlineStr">
        <is>
          <t>Hazırlayan</t>
        </is>
      </c>
      <c r="C10" s="4" t="inlineStr">
        <is>
          <t>Ürün ekibi</t>
        </is>
      </c>
    </row>
    <row r="12">
      <c r="B12" s="5" t="inlineStr">
        <is>
          <t>Nasıl kullanılır</t>
        </is>
      </c>
    </row>
    <row r="13" ht="22" customHeight="1">
      <c r="B13" s="4" t="inlineStr">
        <is>
          <t>1) 'Roller &amp; Ortam' sayfasını oku; test hesaplarını ve ortamı hazırla.</t>
        </is>
      </c>
    </row>
    <row r="14" ht="22" customHeight="1">
      <c r="B14" s="4" t="inlineStr">
        <is>
          <t>2) Sorumlu olduğun modül sayfasını aç. Her satır bir test senaryosudur.</t>
        </is>
      </c>
    </row>
    <row r="15" ht="22" customHeight="1">
      <c r="B15" s="4" t="inlineStr">
        <is>
          <t>3) 'Ön Koşul'u sağla → 'Test Adımları'nı sırayla uygula → 'Beklenen Sonuç' ile karşılaştır.</t>
        </is>
      </c>
    </row>
    <row r="16" ht="22" customHeight="1">
      <c r="B16" s="4" t="inlineStr">
        <is>
          <t>4) 'Gerçekleşen Sonuç'u yaz; 'Durum'u seç (Geçti/Kaldı/Bloke/Uygulanamaz); 'Test Eden' + 'Tarih' doldur.</t>
        </is>
      </c>
    </row>
    <row r="17" ht="22" customHeight="1">
      <c r="B17" s="4" t="inlineStr">
        <is>
          <t>5) 'Kaldı' ise 'Hata Kaydı' sayfasına detayı gir (ekran görüntüsüyle). 'Özet' sayfası otomatik güncellenir.</t>
        </is>
      </c>
    </row>
    <row r="19">
      <c r="B19" s="6" t="inlineStr">
        <is>
          <t>Durum değerleri</t>
        </is>
      </c>
    </row>
    <row r="20">
      <c r="B20" s="7" t="inlineStr">
        <is>
          <t>Geçti</t>
        </is>
      </c>
      <c r="C20" s="8" t="inlineStr">
        <is>
          <t>Beklenen sonuç birebir gerçekleşti.</t>
        </is>
      </c>
    </row>
    <row r="21">
      <c r="B21" s="9" t="inlineStr">
        <is>
          <t>Kaldı</t>
        </is>
      </c>
      <c r="C21" s="8" t="inlineStr">
        <is>
          <t>Beklenenden sapma / hata var → Hata Kaydı'na gir.</t>
        </is>
      </c>
    </row>
    <row r="22">
      <c r="B22" s="10" t="inlineStr">
        <is>
          <t>Bloke</t>
        </is>
      </c>
      <c r="C22" s="8" t="inlineStr">
        <is>
          <t>Bir ön koşul/başka hata yüzünden test edilemedi.</t>
        </is>
      </c>
    </row>
    <row r="23">
      <c r="B23" s="11" t="inlineStr">
        <is>
          <t>Uygulanamaz</t>
        </is>
      </c>
      <c r="C23" s="8" t="inlineStr">
        <is>
          <t>Bu ortam/rol için geçerli değil.</t>
        </is>
      </c>
    </row>
    <row r="25">
      <c r="B25" s="6" t="inlineStr">
        <is>
          <t>Öncelik / Şiddet</t>
        </is>
      </c>
    </row>
    <row r="26">
      <c r="B26" s="3" t="inlineStr">
        <is>
          <t>Kritik</t>
        </is>
      </c>
      <c r="C26" s="8" t="inlineStr">
        <is>
          <t>Temel akış çalışmıyor / veri kaybı / yetki ihlali. Yayın engelleyici.</t>
        </is>
      </c>
    </row>
    <row r="27">
      <c r="B27" s="3" t="inlineStr">
        <is>
          <t>Yüksek</t>
        </is>
      </c>
      <c r="C27" s="8" t="inlineStr">
        <is>
          <t>Önemli özellik bozuk, geçici çözüm olabilir.</t>
        </is>
      </c>
    </row>
    <row r="28">
      <c r="B28" s="3" t="inlineStr">
        <is>
          <t>Orta</t>
        </is>
      </c>
      <c r="C28" s="8" t="inlineStr">
        <is>
          <t>İkincil özellik yanlış; akış devam ediyor.</t>
        </is>
      </c>
    </row>
    <row r="29">
      <c r="B29" s="3" t="inlineStr">
        <is>
          <t>Düşük</t>
        </is>
      </c>
      <c r="C29" s="8" t="inlineStr">
        <is>
          <t>Görsel / metin / yazım; işlevi etkilemiyor.</t>
        </is>
      </c>
    </row>
  </sheetData>
  <mergeCells count="21">
    <mergeCell ref="C22:E22"/>
    <mergeCell ref="C9:E9"/>
    <mergeCell ref="B15:E15"/>
    <mergeCell ref="C21:E21"/>
    <mergeCell ref="C27:E27"/>
    <mergeCell ref="C23:E23"/>
    <mergeCell ref="C8:E8"/>
    <mergeCell ref="B16:E16"/>
    <mergeCell ref="B3:E3"/>
    <mergeCell ref="C7:E7"/>
    <mergeCell ref="C28:E28"/>
    <mergeCell ref="B2:E2"/>
    <mergeCell ref="B14:E14"/>
    <mergeCell ref="C6:E6"/>
    <mergeCell ref="B17:E17"/>
    <mergeCell ref="C5:E5"/>
    <mergeCell ref="B13:E13"/>
    <mergeCell ref="C26:E26"/>
    <mergeCell ref="C29:E29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9" customWidth="1" min="4" max="4"/>
    <col width="9" customWidth="1" min="5" max="5"/>
    <col width="9" customWidth="1" min="6" max="6"/>
    <col width="13" customWidth="1" min="7" max="7"/>
    <col width="9" customWidth="1" min="8" max="8"/>
    <col width="11" customWidth="1" min="9" max="9"/>
  </cols>
  <sheetData>
    <row r="2">
      <c r="B2" s="12" t="inlineStr">
        <is>
          <t>UAT İlerleme Özeti</t>
        </is>
      </c>
    </row>
    <row r="4">
      <c r="A4" s="13" t="n"/>
      <c r="B4" s="14" t="inlineStr">
        <is>
          <t>Modül</t>
        </is>
      </c>
      <c r="C4" s="14" t="inlineStr">
        <is>
          <t>Toplam</t>
        </is>
      </c>
      <c r="D4" s="14" t="inlineStr">
        <is>
          <t>Geçti</t>
        </is>
      </c>
      <c r="E4" s="14" t="inlineStr">
        <is>
          <t>Kaldı</t>
        </is>
      </c>
      <c r="F4" s="14" t="inlineStr">
        <is>
          <t>Bloke</t>
        </is>
      </c>
      <c r="G4" s="14" t="inlineStr">
        <is>
          <t>Uygulanamaz</t>
        </is>
      </c>
      <c r="H4" s="14" t="inlineStr">
        <is>
          <t>Kalan</t>
        </is>
      </c>
      <c r="I4" s="14" t="inlineStr">
        <is>
          <t>Başarı %</t>
        </is>
      </c>
    </row>
    <row r="5">
      <c r="B5" s="15" t="inlineStr">
        <is>
          <t>01 · Kimlik Doğrulama</t>
        </is>
      </c>
      <c r="C5" s="16">
        <f>COUNTA('01 · Kimlik Doğrulama'!A3:A17)</f>
        <v/>
      </c>
      <c r="D5" s="16">
        <f>COUNTIF('01 · Kimlik Doğrulama'!H3:H17,"Geçti")</f>
        <v/>
      </c>
      <c r="E5" s="16">
        <f>COUNTIF('01 · Kimlik Doğrulama'!H3:H17,"Kaldı")</f>
        <v/>
      </c>
      <c r="F5" s="16">
        <f>COUNTIF('01 · Kimlik Doğrulama'!H3:H17,"Bloke")</f>
        <v/>
      </c>
      <c r="G5" s="16">
        <f>COUNTIF('01 · Kimlik Doğrulama'!H3:H17,"Uygulanamaz")</f>
        <v/>
      </c>
      <c r="H5" s="16">
        <f>C5-D5-E5-F5-G5</f>
        <v/>
      </c>
      <c r="I5" s="17">
        <f>IF((D5+E5)=0,"—",D5/(D5+E5))</f>
        <v/>
      </c>
    </row>
    <row r="6">
      <c r="B6" s="18" t="inlineStr">
        <is>
          <t>02 · Panel &amp; Yönetici Özeti</t>
        </is>
      </c>
      <c r="C6" s="19">
        <f>COUNTA('02 · Panel &amp; Yönetici Özeti'!A3:A20)</f>
        <v/>
      </c>
      <c r="D6" s="19">
        <f>COUNTIF('02 · Panel &amp; Yönetici Özeti'!H3:H20,"Geçti")</f>
        <v/>
      </c>
      <c r="E6" s="19">
        <f>COUNTIF('02 · Panel &amp; Yönetici Özeti'!H3:H20,"Kaldı")</f>
        <v/>
      </c>
      <c r="F6" s="19">
        <f>COUNTIF('02 · Panel &amp; Yönetici Özeti'!H3:H20,"Bloke")</f>
        <v/>
      </c>
      <c r="G6" s="19">
        <f>COUNTIF('02 · Panel &amp; Yönetici Özeti'!H3:H20,"Uygulanamaz")</f>
        <v/>
      </c>
      <c r="H6" s="19">
        <f>C6-D6-E6-F6-G6</f>
        <v/>
      </c>
      <c r="I6" s="20">
        <f>IF((D6+E6)=0,"—",D6/(D6+E6))</f>
        <v/>
      </c>
    </row>
    <row r="7">
      <c r="B7" s="15" t="inlineStr">
        <is>
          <t>03 · Analitik</t>
        </is>
      </c>
      <c r="C7" s="16">
        <f>COUNTA('03 · Analitik'!A3:A17)</f>
        <v/>
      </c>
      <c r="D7" s="16">
        <f>COUNTIF('03 · Analitik'!H3:H17,"Geçti")</f>
        <v/>
      </c>
      <c r="E7" s="16">
        <f>COUNTIF('03 · Analitik'!H3:H17,"Kaldı")</f>
        <v/>
      </c>
      <c r="F7" s="16">
        <f>COUNTIF('03 · Analitik'!H3:H17,"Bloke")</f>
        <v/>
      </c>
      <c r="G7" s="16">
        <f>COUNTIF('03 · Analitik'!H3:H17,"Uygulanamaz")</f>
        <v/>
      </c>
      <c r="H7" s="16">
        <f>C7-D7-E7-F7-G7</f>
        <v/>
      </c>
      <c r="I7" s="17">
        <f>IF((D7+E7)=0,"—",D7/(D7+E7))</f>
        <v/>
      </c>
    </row>
    <row r="8">
      <c r="B8" s="18" t="inlineStr">
        <is>
          <t>04 · Ticket Operasyonu</t>
        </is>
      </c>
      <c r="C8" s="19">
        <f>COUNTA('04 · Ticket Operasyonu'!A3:A27)</f>
        <v/>
      </c>
      <c r="D8" s="19">
        <f>COUNTIF('04 · Ticket Operasyonu'!H3:H27,"Geçti")</f>
        <v/>
      </c>
      <c r="E8" s="19">
        <f>COUNTIF('04 · Ticket Operasyonu'!H3:H27,"Kaldı")</f>
        <v/>
      </c>
      <c r="F8" s="19">
        <f>COUNTIF('04 · Ticket Operasyonu'!H3:H27,"Bloke")</f>
        <v/>
      </c>
      <c r="G8" s="19">
        <f>COUNTIF('04 · Ticket Operasyonu'!H3:H27,"Uygulanamaz")</f>
        <v/>
      </c>
      <c r="H8" s="19">
        <f>C8-D8-E8-F8-G8</f>
        <v/>
      </c>
      <c r="I8" s="20">
        <f>IF((D8+E8)=0,"—",D8/(D8+E8))</f>
        <v/>
      </c>
    </row>
    <row r="9">
      <c r="B9" s="15" t="inlineStr">
        <is>
          <t>05 · Veri Yükleme</t>
        </is>
      </c>
      <c r="C9" s="16">
        <f>COUNTA('05 · Veri Yükleme'!A3:A26)</f>
        <v/>
      </c>
      <c r="D9" s="16">
        <f>COUNTIF('05 · Veri Yükleme'!H3:H26,"Geçti")</f>
        <v/>
      </c>
      <c r="E9" s="16">
        <f>COUNTIF('05 · Veri Yükleme'!H3:H26,"Kaldı")</f>
        <v/>
      </c>
      <c r="F9" s="16">
        <f>COUNTIF('05 · Veri Yükleme'!H3:H26,"Bloke")</f>
        <v/>
      </c>
      <c r="G9" s="16">
        <f>COUNTIF('05 · Veri Yükleme'!H3:H26,"Uygulanamaz")</f>
        <v/>
      </c>
      <c r="H9" s="16">
        <f>C9-D9-E9-F9-G9</f>
        <v/>
      </c>
      <c r="I9" s="17">
        <f>IF((D9+E9)=0,"—",D9/(D9+E9))</f>
        <v/>
      </c>
    </row>
    <row r="10">
      <c r="B10" s="18" t="inlineStr">
        <is>
          <t>06 · Aksiyon &amp; Uyarılar</t>
        </is>
      </c>
      <c r="C10" s="19">
        <f>COUNTA('06 · Aksiyon &amp; Uyarılar'!A3:A13)</f>
        <v/>
      </c>
      <c r="D10" s="19">
        <f>COUNTIF('06 · Aksiyon &amp; Uyarılar'!H3:H13,"Geçti")</f>
        <v/>
      </c>
      <c r="E10" s="19">
        <f>COUNTIF('06 · Aksiyon &amp; Uyarılar'!H3:H13,"Kaldı")</f>
        <v/>
      </c>
      <c r="F10" s="19">
        <f>COUNTIF('06 · Aksiyon &amp; Uyarılar'!H3:H13,"Bloke")</f>
        <v/>
      </c>
      <c r="G10" s="19">
        <f>COUNTIF('06 · Aksiyon &amp; Uyarılar'!H3:H13,"Uygulanamaz")</f>
        <v/>
      </c>
      <c r="H10" s="19">
        <f>C10-D10-E10-F10-G10</f>
        <v/>
      </c>
      <c r="I10" s="20">
        <f>IF((D10+E10)=0,"—",D10/(D10+E10))</f>
        <v/>
      </c>
    </row>
    <row r="11">
      <c r="B11" s="15" t="inlineStr">
        <is>
          <t>07 · Ayarlar</t>
        </is>
      </c>
      <c r="C11" s="16">
        <f>COUNTA('07 · Ayarlar'!A3:A18)</f>
        <v/>
      </c>
      <c r="D11" s="16">
        <f>COUNTIF('07 · Ayarlar'!H3:H18,"Geçti")</f>
        <v/>
      </c>
      <c r="E11" s="16">
        <f>COUNTIF('07 · Ayarlar'!H3:H18,"Kaldı")</f>
        <v/>
      </c>
      <c r="F11" s="16">
        <f>COUNTIF('07 · Ayarlar'!H3:H18,"Bloke")</f>
        <v/>
      </c>
      <c r="G11" s="16">
        <f>COUNTIF('07 · Ayarlar'!H3:H18,"Uygulanamaz")</f>
        <v/>
      </c>
      <c r="H11" s="16">
        <f>C11-D11-E11-F11-G11</f>
        <v/>
      </c>
      <c r="I11" s="17">
        <f>IF((D11+E11)=0,"—",D11/(D11+E11))</f>
        <v/>
      </c>
    </row>
    <row r="12">
      <c r="B12" s="18" t="inlineStr">
        <is>
          <t>08 · Yönetim - Admin</t>
        </is>
      </c>
      <c r="C12" s="19">
        <f>COUNTA('08 · Yönetim - Admin'!A3:A14)</f>
        <v/>
      </c>
      <c r="D12" s="19">
        <f>COUNTIF('08 · Yönetim - Admin'!H3:H14,"Geçti")</f>
        <v/>
      </c>
      <c r="E12" s="19">
        <f>COUNTIF('08 · Yönetim - Admin'!H3:H14,"Kaldı")</f>
        <v/>
      </c>
      <c r="F12" s="19">
        <f>COUNTIF('08 · Yönetim - Admin'!H3:H14,"Bloke")</f>
        <v/>
      </c>
      <c r="G12" s="19">
        <f>COUNTIF('08 · Yönetim - Admin'!H3:H14,"Uygulanamaz")</f>
        <v/>
      </c>
      <c r="H12" s="19">
        <f>C12-D12-E12-F12-G12</f>
        <v/>
      </c>
      <c r="I12" s="20">
        <f>IF((D12+E12)=0,"—",D12/(D12+E12))</f>
        <v/>
      </c>
    </row>
    <row r="13">
      <c r="B13" s="15" t="inlineStr">
        <is>
          <t>09 · Roller &amp; Yetkiler (RBAC)</t>
        </is>
      </c>
      <c r="C13" s="16">
        <f>COUNTA('09 · Roller &amp; Yetkiler (RBAC)'!A3:A8)</f>
        <v/>
      </c>
      <c r="D13" s="16">
        <f>COUNTIF('09 · Roller &amp; Yetkiler (RBAC)'!H3:H8,"Geçti")</f>
        <v/>
      </c>
      <c r="E13" s="16">
        <f>COUNTIF('09 · Roller &amp; Yetkiler (RBAC)'!H3:H8,"Kaldı")</f>
        <v/>
      </c>
      <c r="F13" s="16">
        <f>COUNTIF('09 · Roller &amp; Yetkiler (RBAC)'!H3:H8,"Bloke")</f>
        <v/>
      </c>
      <c r="G13" s="16">
        <f>COUNTIF('09 · Roller &amp; Yetkiler (RBAC)'!H3:H8,"Uygulanamaz")</f>
        <v/>
      </c>
      <c r="H13" s="16">
        <f>C13-D13-E13-F13-G13</f>
        <v/>
      </c>
      <c r="I13" s="17">
        <f>IF((D13+E13)=0,"—",D13/(D13+E13))</f>
        <v/>
      </c>
    </row>
    <row r="14">
      <c r="B14" s="18" t="inlineStr">
        <is>
          <t>10 · Genel - Çapraz</t>
        </is>
      </c>
      <c r="C14" s="19">
        <f>COUNTA('10 · Genel - Çapraz'!A3:A13)</f>
        <v/>
      </c>
      <c r="D14" s="19">
        <f>COUNTIF('10 · Genel - Çapraz'!H3:H13,"Geçti")</f>
        <v/>
      </c>
      <c r="E14" s="19">
        <f>COUNTIF('10 · Genel - Çapraz'!H3:H13,"Kaldı")</f>
        <v/>
      </c>
      <c r="F14" s="19">
        <f>COUNTIF('10 · Genel - Çapraz'!H3:H13,"Bloke")</f>
        <v/>
      </c>
      <c r="G14" s="19">
        <f>COUNTIF('10 · Genel - Çapraz'!H3:H13,"Uygulanamaz")</f>
        <v/>
      </c>
      <c r="H14" s="19">
        <f>C14-D14-E14-F14-G14</f>
        <v/>
      </c>
      <c r="I14" s="20">
        <f>IF((D14+E14)=0,"—",D14/(D14+E14))</f>
        <v/>
      </c>
    </row>
    <row r="15">
      <c r="B15" s="21" t="inlineStr">
        <is>
          <t>TOPLAM</t>
        </is>
      </c>
      <c r="C15" s="22">
        <f>SUM(C5:C14)</f>
        <v/>
      </c>
      <c r="D15" s="22">
        <f>SUM(D5:D14)</f>
        <v/>
      </c>
      <c r="E15" s="22">
        <f>SUM(E5:E14)</f>
        <v/>
      </c>
      <c r="F15" s="22">
        <f>SUM(F5:F14)</f>
        <v/>
      </c>
      <c r="G15" s="22">
        <f>SUM(G5:G14)</f>
        <v/>
      </c>
      <c r="H15" s="22">
        <f>SUM(H5:H14)</f>
        <v/>
      </c>
      <c r="I15" s="23">
        <f>IF((D15+E15)=0,"—",D15/(D15+E15))</f>
        <v/>
      </c>
    </row>
    <row r="17">
      <c r="B17" s="24" t="inlineStr">
        <is>
          <t>Genel durum dağılımı</t>
        </is>
      </c>
    </row>
    <row r="18">
      <c r="B18" s="25" t="inlineStr">
        <is>
          <t>Geçti</t>
        </is>
      </c>
      <c r="C18" s="25">
        <f>D15</f>
        <v/>
      </c>
    </row>
    <row r="19">
      <c r="B19" s="25" t="inlineStr">
        <is>
          <t>Kaldı</t>
        </is>
      </c>
      <c r="C19" s="25">
        <f>E15</f>
        <v/>
      </c>
    </row>
    <row r="20">
      <c r="B20" s="25" t="inlineStr">
        <is>
          <t>Bloke</t>
        </is>
      </c>
      <c r="C20" s="25">
        <f>F15</f>
        <v/>
      </c>
    </row>
    <row r="21">
      <c r="B21" s="25" t="inlineStr">
        <is>
          <t>Kalan</t>
        </is>
      </c>
      <c r="C21" s="25">
        <f>H15</f>
        <v/>
      </c>
    </row>
  </sheetData>
  <mergeCells count="1"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20" customWidth="1" min="4" max="4"/>
    <col width="40" customWidth="1" min="5" max="5"/>
  </cols>
  <sheetData>
    <row r="2">
      <c r="B2" s="26" t="inlineStr">
        <is>
          <t>Roller, Test Hesapları ve Ortam</t>
        </is>
      </c>
    </row>
    <row r="4">
      <c r="B4" s="27" t="inlineStr">
        <is>
          <t>Roller (4 yetki seviyesi)</t>
        </is>
      </c>
    </row>
    <row r="5">
      <c r="B5" s="14" t="inlineStr">
        <is>
          <t>Rol</t>
        </is>
      </c>
      <c r="C5" s="14" t="inlineStr">
        <is>
          <t>UI'da</t>
        </is>
      </c>
      <c r="D5" s="14" t="inlineStr">
        <is>
          <t>Ne yapabilir</t>
        </is>
      </c>
      <c r="E5" s="14" t="inlineStr">
        <is>
          <t>Tipik kişi</t>
        </is>
      </c>
    </row>
    <row r="6" ht="24" customHeight="1">
      <c r="B6" s="28" t="inlineStr">
        <is>
          <t>Süper-yönetici</t>
        </is>
      </c>
      <c r="C6" s="28" t="inlineStr">
        <is>
          <t>(tüm kurumlar üstü)</t>
        </is>
      </c>
      <c r="D6" s="28" t="inlineStr">
        <is>
          <t>Tüm kurumları yönetir; kurum açar/siler; sistem denetim sayfaları.</t>
        </is>
      </c>
      <c r="E6" s="28" t="inlineStr">
        <is>
          <t>İmga.AI ekibi</t>
        </is>
      </c>
    </row>
    <row r="7" ht="24" customHeight="1">
      <c r="B7" s="28" t="inlineStr">
        <is>
          <t>Yönetici</t>
        </is>
      </c>
      <c r="C7" s="28" t="inlineStr">
        <is>
          <t>tenant_admin</t>
        </is>
      </c>
      <c r="D7" s="28" t="inlineStr">
        <is>
          <t>Kurumda tam yetki: ayarlar, davet, her ticket, raporlar.</t>
        </is>
      </c>
      <c r="E7" s="28" t="inlineStr">
        <is>
          <t>Müşteri firma ürün lideri</t>
        </is>
      </c>
    </row>
    <row r="8" ht="24" customHeight="1">
      <c r="B8" s="28" t="inlineStr">
        <is>
          <t>Analist</t>
        </is>
      </c>
      <c r="C8" s="28" t="inlineStr">
        <is>
          <t>analyst</t>
        </is>
      </c>
      <c r="D8" s="28" t="inlineStr">
        <is>
          <t>Ticket'ta çalışır (üstlen, çöz, yorum, müşteri yanıtı). Ayar değiştiremez.</t>
        </is>
      </c>
      <c r="E8" s="28" t="inlineStr">
        <is>
          <t>Müşteri hizmetleri ekibi</t>
        </is>
      </c>
    </row>
    <row r="9" ht="24" customHeight="1">
      <c r="B9" s="28" t="inlineStr">
        <is>
          <t>İzleyici</t>
        </is>
      </c>
      <c r="C9" s="28" t="inlineStr">
        <is>
          <t>viewer</t>
        </is>
      </c>
      <c r="D9" s="28" t="inlineStr">
        <is>
          <t>Yalnız okur + iç not. Durum değiştiremez, müşteriye yazamaz.</t>
        </is>
      </c>
      <c r="E9" s="28" t="inlineStr">
        <is>
          <t>Üst yönetim / paydaş</t>
        </is>
      </c>
    </row>
    <row r="11">
      <c r="B11" s="27" t="inlineStr">
        <is>
          <t>Test hesapları (doldur)</t>
        </is>
      </c>
    </row>
    <row r="12">
      <c r="B12" s="14" t="inlineStr">
        <is>
          <t>Kurum / Rol</t>
        </is>
      </c>
      <c r="C12" s="14" t="inlineStr">
        <is>
          <t>E-posta</t>
        </is>
      </c>
      <c r="D12" s="14" t="inlineStr">
        <is>
          <t>Şifre</t>
        </is>
      </c>
      <c r="E12" s="14" t="inlineStr">
        <is>
          <t>Not</t>
        </is>
      </c>
    </row>
    <row r="13" ht="24" customHeight="1">
      <c r="B13" s="28" t="inlineStr">
        <is>
          <t>Süper-yönetici · —</t>
        </is>
      </c>
      <c r="C13" s="28" t="inlineStr"/>
      <c r="D13" s="28" t="inlineStr"/>
      <c r="E13" s="28" t="inlineStr"/>
    </row>
    <row r="14" ht="24" customHeight="1">
      <c r="B14" s="28" t="inlineStr">
        <is>
          <t>Kurum A · Yönetici</t>
        </is>
      </c>
      <c r="C14" s="28" t="inlineStr"/>
      <c r="D14" s="28" t="inlineStr"/>
      <c r="E14" s="28" t="inlineStr"/>
    </row>
    <row r="15" ht="24" customHeight="1">
      <c r="B15" s="28" t="inlineStr">
        <is>
          <t>Kurum A · Analist</t>
        </is>
      </c>
      <c r="C15" s="28" t="inlineStr"/>
      <c r="D15" s="28" t="inlineStr"/>
      <c r="E15" s="28" t="inlineStr"/>
    </row>
    <row r="16" ht="24" customHeight="1">
      <c r="B16" s="28" t="inlineStr">
        <is>
          <t>Kurum A · İzleyici</t>
        </is>
      </c>
      <c r="C16" s="28" t="inlineStr"/>
      <c r="D16" s="28" t="inlineStr"/>
      <c r="E16" s="28" t="inlineStr"/>
    </row>
    <row r="17" ht="24" customHeight="1">
      <c r="B17" s="28" t="inlineStr">
        <is>
          <t>Kurum B · Yönetici</t>
        </is>
      </c>
      <c r="C17" s="28" t="inlineStr"/>
      <c r="D17" s="28" t="inlineStr"/>
      <c r="E17" s="28" t="inlineStr"/>
    </row>
    <row r="18" ht="24" customHeight="1">
      <c r="B18" s="28" t="inlineStr">
        <is>
          <t>Çok-kurumlu kullanıcı · A: Analist / B: İzleyici</t>
        </is>
      </c>
      <c r="C18" s="28" t="inlineStr"/>
      <c r="D18" s="28" t="inlineStr"/>
      <c r="E18" s="28" t="inlineStr">
        <is>
          <t>tenant-switch testleri için</t>
        </is>
      </c>
    </row>
    <row r="20">
      <c r="B20" s="27" t="inlineStr">
        <is>
          <t>Ortam ve tarayıcı</t>
        </is>
      </c>
    </row>
    <row r="21">
      <c r="B21" s="14" t="inlineStr">
        <is>
          <t>Konu</t>
        </is>
      </c>
      <c r="C21" s="14" t="inlineStr">
        <is>
          <t>Değer</t>
        </is>
      </c>
    </row>
    <row r="22" ht="24" customHeight="1">
      <c r="B22" s="28" t="inlineStr">
        <is>
          <t>Staging (UAT)</t>
        </is>
      </c>
      <c r="C22" s="28" t="inlineStr">
        <is>
          <t>https://staging.imga.ai — tüm UAT burada koşulur</t>
        </is>
      </c>
    </row>
    <row r="23" ht="24" customHeight="1">
      <c r="B23" s="28" t="inlineStr">
        <is>
          <t>Production (smoke)</t>
        </is>
      </c>
      <c r="C23" s="28" t="inlineStr">
        <is>
          <t>https://app.imga.ai — yalnız yayın sonrası duman testi</t>
        </is>
      </c>
    </row>
    <row r="24" ht="24" customHeight="1">
      <c r="B24" s="28" t="inlineStr">
        <is>
          <t>Tarayıcı</t>
        </is>
      </c>
      <c r="C24" s="28" t="inlineStr">
        <is>
          <t>Chrome (güncel) birincil; mümkünse Edge + Safari</t>
        </is>
      </c>
    </row>
    <row r="25" ht="24" customHeight="1">
      <c r="B25" s="28" t="inlineStr">
        <is>
          <t>Temiz oturum</t>
        </is>
      </c>
      <c r="C25" s="28" t="inlineStr">
        <is>
          <t>Yeni hesap/davet testinde gizli (incognito) pencere; Ctrl+F5 hard refresh</t>
        </is>
      </c>
    </row>
  </sheetData>
  <mergeCells count="4">
    <mergeCell ref="B20:E20"/>
    <mergeCell ref="B11:E11"/>
    <mergeCell ref="B2:E2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01 · Kimlik Doğrulama   (15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47" customHeight="1">
      <c r="A3" s="30" t="inlineStr">
        <is>
          <t>UAT-AUTH-01</t>
        </is>
      </c>
      <c r="B3" s="31" t="inlineStr">
        <is>
          <t>A. Giriş (/login)</t>
        </is>
      </c>
      <c r="C3" s="32" t="inlineStr">
        <is>
          <t>Başarılı giriş</t>
        </is>
      </c>
      <c r="D3" s="32" t="inlineStr">
        <is>
          <t>Herhangi bir geçerli hesap.</t>
        </is>
      </c>
      <c r="E3" s="32" t="inlineStr">
        <is>
          <t>1. https://staging.imga.ai/login aç.
2. E-posta ve şifreni gir.
3. "Giriş yap" butonuna bas.</t>
        </is>
      </c>
      <c r="F3" s="32" t="inlineStr">
        <is>
          <t>• Sayfa başlığı "imga.ai", alt başlık "Hesabınıza giriş yapın".
• Buton basılınca "Giriş yapılıyor..." gösteriliyor.
• Başarılı giriş → / (Panel) açılıyor.</t>
        </is>
      </c>
      <c r="G3" s="32" t="inlineStr"/>
      <c r="H3" s="30" t="inlineStr"/>
      <c r="I3" s="33" t="inlineStr">
        <is>
          <t>Yüksek</t>
        </is>
      </c>
      <c r="J3" s="31" t="inlineStr"/>
      <c r="K3" s="30" t="inlineStr"/>
      <c r="L3" s="31" t="inlineStr"/>
    </row>
    <row r="4" ht="47" customHeight="1">
      <c r="A4" s="34" t="inlineStr">
        <is>
          <t>UAT-AUTH-02</t>
        </is>
      </c>
      <c r="B4" s="35" t="inlineStr">
        <is>
          <t>A. Giriş (/login)</t>
        </is>
      </c>
      <c r="C4" s="36" t="inlineStr">
        <is>
          <t>Yanlış şifre</t>
        </is>
      </c>
      <c r="D4" s="36" t="inlineStr">
        <is>
          <t>Geçerli e-posta, yanlış şifre.</t>
        </is>
      </c>
      <c r="E4" s="36" t="inlineStr">
        <is>
          <t>1. E-postanı doğru, şifreni yanlış gir → "Giriş yap".</t>
        </is>
      </c>
      <c r="F4" s="36" t="inlineStr">
        <is>
          <t>• Hata bildirimi: başlık "Giriş başarısız", açıklama "E-posta veya
şifre hatalı."
• Sayfada kalınıyor, panele geçilmiyor.</t>
        </is>
      </c>
      <c r="G4" s="36" t="inlineStr"/>
      <c r="H4" s="30" t="inlineStr"/>
      <c r="I4" s="37" t="inlineStr">
        <is>
          <t>Yüksek</t>
        </is>
      </c>
      <c r="J4" s="35" t="inlineStr"/>
      <c r="K4" s="34" t="inlineStr"/>
      <c r="L4" s="35" t="inlineStr"/>
    </row>
    <row r="5" ht="34" customHeight="1">
      <c r="A5" s="30" t="inlineStr">
        <is>
          <t>UAT-AUTH-03</t>
        </is>
      </c>
      <c r="B5" s="31" t="inlineStr">
        <is>
          <t>A. Giriş (/login)</t>
        </is>
      </c>
      <c r="C5" s="32" t="inlineStr">
        <is>
          <t>Olmayan hesap (bilgi sızdırmama)</t>
        </is>
      </c>
      <c r="D5" s="32" t="inlineStr">
        <is>
          <t>Kayıtlı olmayan bir e-posta.</t>
        </is>
      </c>
      <c r="E5" s="32" t="inlineStr">
        <is>
          <t>1. Var olmayan bir e-posta + herhangi bir şifre → "Giriş yap".</t>
        </is>
      </c>
      <c r="F5" s="32" t="inlineStr">
        <is>
          <t>• Aynı genel hata mesajı ("E-posta veya şifre hatalı.") — hangi
e-postaların kayıtlı olduğu sızdırılmıyor.</t>
        </is>
      </c>
      <c r="G5" s="32" t="inlineStr"/>
      <c r="H5" s="30" t="inlineStr"/>
      <c r="I5" s="33" t="inlineStr">
        <is>
          <t>Kritik</t>
        </is>
      </c>
      <c r="J5" s="31" t="inlineStr"/>
      <c r="K5" s="30" t="inlineStr"/>
      <c r="L5" s="31" t="inlineStr"/>
    </row>
    <row r="6" ht="47" customHeight="1">
      <c r="A6" s="34" t="inlineStr">
        <is>
          <t>UAT-AUTH-04</t>
        </is>
      </c>
      <c r="B6" s="35" t="inlineStr">
        <is>
          <t>A. Giriş (/login)</t>
        </is>
      </c>
      <c r="C6" s="36" t="inlineStr">
        <is>
          <t>Oturum sona erince yönlendirme</t>
        </is>
      </c>
      <c r="D6" s="36" t="inlineStr">
        <is>
          <t>Giriş yapılmış oturum.</t>
        </is>
      </c>
      <c r="E6" s="36" t="inlineStr">
        <is>
          <t>1. Uzun süre işlem yapmadan bekle (token süresi dolana dek) veya ürün
ekibinden oturumu geçersiz kılmasını iste.
2. Bir sayfaya geçiş yapmayı dene.</t>
        </is>
      </c>
      <c r="F6" s="36" t="inlineStr">
        <is>
          <t>• Login'e yönlendiriliyor; üstte amber uyarı: "Oturumunuz sona erdi.
Lütfen tekrar giriş yapın."
• Tekrar giriş yapınca kaldığın yere/panele dönüyorsun.</t>
        </is>
      </c>
      <c r="G6" s="36" t="inlineStr"/>
      <c r="H6" s="30" t="inlineStr"/>
      <c r="I6" s="37" t="inlineStr">
        <is>
          <t>Yüksek</t>
        </is>
      </c>
      <c r="J6" s="35" t="inlineStr"/>
      <c r="K6" s="34" t="inlineStr"/>
      <c r="L6" s="35" t="inlineStr"/>
    </row>
    <row r="7" ht="34" customHeight="1">
      <c r="A7" s="30" t="inlineStr">
        <is>
          <t>UAT-AUTH-05</t>
        </is>
      </c>
      <c r="B7" s="31" t="inlineStr">
        <is>
          <t>A. Giriş (/login)</t>
        </is>
      </c>
      <c r="C7" s="32" t="inlineStr">
        <is>
          <t>Giriş yapmadan korumalı sayfa</t>
        </is>
      </c>
      <c r="D7" s="32" t="inlineStr">
        <is>
          <t>Çıkış yapılmış / hiç giriş yapılmamış.</t>
        </is>
      </c>
      <c r="E7" s="32" t="inlineStr">
        <is>
          <t>1. Doğrudan https://staging.imga.ai/tickets URL'sini aç.</t>
        </is>
      </c>
      <c r="F7" s="32" t="inlineStr">
        <is>
          <t>• Login'e yönlendiriliyor; giriş yapmadan korumalı içerik görünmüyor.</t>
        </is>
      </c>
      <c r="G7" s="32" t="inlineStr"/>
      <c r="H7" s="30" t="inlineStr"/>
      <c r="I7" s="33" t="inlineStr">
        <is>
          <t>Yüksek</t>
        </is>
      </c>
      <c r="J7" s="31" t="inlineStr"/>
      <c r="K7" s="30" t="inlineStr"/>
      <c r="L7" s="31" t="inlineStr"/>
    </row>
    <row r="8" ht="86" customHeight="1">
      <c r="A8" s="34" t="inlineStr">
        <is>
          <t>UAT-AUTH-06</t>
        </is>
      </c>
      <c r="B8" s="35" t="inlineStr">
        <is>
          <t>B. Davet Kabul (/invite/{token})</t>
        </is>
      </c>
      <c r="C8" s="36" t="inlineStr">
        <is>
          <t>Yeni kullanıcı daveti kabul</t>
        </is>
      </c>
      <c r="D8" s="36" t="inlineStr">
        <is>
          <t>Sistemde olmayan bir e-postaya gönderilmiş geçerli davet.</t>
        </is>
      </c>
      <c r="E8" s="36" t="inlineStr">
        <is>
          <t>1. Davet linkini gizli (incognito) pencerede aç.
2. Önizleme bloğunu doğrula (kurum adı + rol rozeti + davet edilen e-posta +
geçerlilik).
3. "Yeni hesap oluştur" formunu doldur: Tam adınız + Şifre (≥ 8 karakter) +
Şifre tekrar.
4. "Daveti kabul et"'e bas.</t>
        </is>
      </c>
      <c r="F8" s="36" t="inlineStr">
        <is>
          <t>• Bildirim: "Hesap oluşturuldu" + "{kurum} ekibine hoş geldin."
• Otomatik giriş yapılıp / paneline yönlendiriliyor.</t>
        </is>
      </c>
      <c r="G8" s="36" t="inlineStr"/>
      <c r="H8" s="30" t="inlineStr"/>
      <c r="I8" s="37" t="inlineStr">
        <is>
          <t>Yüksek</t>
        </is>
      </c>
      <c r="J8" s="35" t="inlineStr"/>
      <c r="K8" s="34" t="inlineStr"/>
      <c r="L8" s="35" t="inlineStr"/>
    </row>
    <row r="9" ht="34" customHeight="1">
      <c r="A9" s="30" t="inlineStr">
        <is>
          <t>UAT-AUTH-07</t>
        </is>
      </c>
      <c r="B9" s="31" t="inlineStr">
        <is>
          <t>B. Davet Kabul (/invite/{token})</t>
        </is>
      </c>
      <c r="C9" s="32" t="inlineStr">
        <is>
          <t>Şifre doğrulamaları (yeni kullanıcı)</t>
        </is>
      </c>
      <c r="D9" s="32" t="inlineStr">
        <is>
          <t>Geçerli yeni-kullanıcı daveti.</t>
        </is>
      </c>
      <c r="E9" s="32" t="inlineStr">
        <is>
          <t>1. Şifre ile Şifre tekrar'ı farklı gir → kabul et.
2. Şifreyi 8 karakterden kısa gir → kabul et.</t>
        </is>
      </c>
      <c r="F9" s="32" t="inlineStr">
        <is>
          <t>• Farklı şifreler → "Şifreler eşleşmiyor."
• Kısa şifre → "Şifre en az 8 karakter olmalı."</t>
        </is>
      </c>
      <c r="G9" s="32" t="inlineStr"/>
      <c r="H9" s="30" t="inlineStr"/>
      <c r="I9" s="33" t="inlineStr">
        <is>
          <t>Yüksek</t>
        </is>
      </c>
      <c r="J9" s="31" t="inlineStr"/>
      <c r="K9" s="30" t="inlineStr"/>
      <c r="L9" s="31" t="inlineStr"/>
    </row>
    <row r="10" ht="60" customHeight="1">
      <c r="A10" s="34" t="inlineStr">
        <is>
          <t>UAT-AUTH-08</t>
        </is>
      </c>
      <c r="B10" s="35" t="inlineStr">
        <is>
          <t>B. Davet Kabul (/invite/{token})</t>
        </is>
      </c>
      <c r="C10" s="36" t="inlineStr">
        <is>
          <t>Mevcut kullanıcı daveti kabul</t>
        </is>
      </c>
      <c r="D10" s="36" t="inlineStr">
        <is>
          <t>Sistemde kayıtlı bir e-postaya gönderilmiş davet.</t>
        </is>
      </c>
      <c r="E10" s="36" t="inlineStr">
        <is>
          <t>1. Daveti aç → "Mevcut hesap ile katıl" formu görünür.
2. Açıklamayı oku: "Bu e-posta zaten kayıtlı. Şifrenle doğrulayıp kuruma
ekleneceksin — yeni hesap açılmıyor."
3. O hesabın şifresini gir → "Hesabımla daveti kabul et".</t>
        </is>
      </c>
      <c r="F10" s="36" t="inlineStr">
        <is>
          <t>• Bildirim: "Davet kabul edildi" + "{kurum} artık kurum listende."
• Panele yönlendiriliyor; yeni kurum, kurum listesine ekleniyor.</t>
        </is>
      </c>
      <c r="G10" s="36" t="inlineStr"/>
      <c r="H10" s="30" t="inlineStr"/>
      <c r="I10" s="37" t="inlineStr">
        <is>
          <t>Yüksek</t>
        </is>
      </c>
      <c r="J10" s="35" t="inlineStr"/>
      <c r="K10" s="34" t="inlineStr"/>
      <c r="L10" s="35" t="inlineStr"/>
    </row>
    <row r="11" ht="47" customHeight="1">
      <c r="A11" s="30" t="inlineStr">
        <is>
          <t>UAT-AUTH-09</t>
        </is>
      </c>
      <c r="B11" s="31" t="inlineStr">
        <is>
          <t>B. Davet Kabul (/invite/{token})</t>
        </is>
      </c>
      <c r="C11" s="32" t="inlineStr">
        <is>
          <t>Başka hesapla giriş yapmışken farklı davet</t>
        </is>
      </c>
      <c r="D11" s="32" t="inlineStr">
        <is>
          <t>A kullanıcısı olarak giriş yapılmış; davet B e-postasına gelmiş.</t>
        </is>
      </c>
      <c r="E11" s="32" t="inlineStr">
        <is>
          <t>1. A olarak girişliyken B'ye gelen daveti aç.</t>
        </is>
      </c>
      <c r="F11" s="32" t="inlineStr">
        <is>
          <t>• Amber uyarı: "Şu an {A e-postası} hesabıyla giriş yapmışsın ama davet
{B e-postası} içindi. Aşağıya o hesabın şifresini gir; oturum yeni
hesaba geçecek."</t>
        </is>
      </c>
      <c r="G11" s="32" t="inlineStr"/>
      <c r="H11" s="30" t="inlineStr"/>
      <c r="I11" s="33" t="inlineStr">
        <is>
          <t>Yüksek</t>
        </is>
      </c>
      <c r="J11" s="31" t="inlineStr"/>
      <c r="K11" s="30" t="inlineStr"/>
      <c r="L11" s="31" t="inlineStr"/>
    </row>
    <row r="12" ht="47" customHeight="1">
      <c r="A12" s="34" t="inlineStr">
        <is>
          <t>UAT-AUTH-10</t>
        </is>
      </c>
      <c r="B12" s="35" t="inlineStr">
        <is>
          <t>B. Davet Kabul (/invite/{token})</t>
        </is>
      </c>
      <c r="C12" s="36" t="inlineStr">
        <is>
          <t>Geçersiz / süresi dolmuş davet</t>
        </is>
      </c>
      <c r="D12" s="36" t="inlineStr">
        <is>
          <t>Bozuk veya süresi geçmiş bir davet token'ı.</t>
        </is>
      </c>
      <c r="E12" s="36" t="inlineStr">
        <is>
          <t>1. Geçersiz bir davet linkini aç (örn. token'ın sonunu boz).</t>
        </is>
      </c>
      <c r="F12" s="36" t="inlineStr">
        <is>
          <t>• Kırmızı kalkan ikonu + "Bu davet geçersiz veya süresi dolmuş."
• "Lütfen kurum yöneticinizle iletişime geçip yeni bir davet isteyin."
• "Giriş ekranına dön" butonu → /login.</t>
        </is>
      </c>
      <c r="G12" s="36" t="inlineStr"/>
      <c r="H12" s="30" t="inlineStr"/>
      <c r="I12" s="37" t="inlineStr">
        <is>
          <t>Yüksek</t>
        </is>
      </c>
      <c r="J12" s="35" t="inlineStr"/>
      <c r="K12" s="34" t="inlineStr"/>
      <c r="L12" s="35" t="inlineStr"/>
    </row>
    <row r="13" ht="34" customHeight="1">
      <c r="A13" s="30" t="inlineStr">
        <is>
          <t>UAT-AUTH-11</t>
        </is>
      </c>
      <c r="B13" s="31" t="inlineStr">
        <is>
          <t>B. Davet Kabul (/invite/{token})</t>
        </is>
      </c>
      <c r="C13" s="32" t="inlineStr">
        <is>
          <t>Yanlış şifre (mevcut kullanıcı daveti)</t>
        </is>
      </c>
      <c r="D13" s="32" t="inlineStr">
        <is>
          <t>Geçerli mevcut-kullanıcı daveti.</t>
        </is>
      </c>
      <c r="E13" s="32" t="inlineStr">
        <is>
          <t>1. Mevcut hesap formunda yanlış şifre gir → kabul et.</t>
        </is>
      </c>
      <c r="F13" s="32" t="inlineStr">
        <is>
          <t>• Hata: "Şifre hatalı." (Davet başka e-posta içinse: "Bu davet farklı
bir e-posta için.")</t>
        </is>
      </c>
      <c r="G13" s="32" t="inlineStr"/>
      <c r="H13" s="30" t="inlineStr"/>
      <c r="I13" s="33" t="inlineStr">
        <is>
          <t>Yüksek</t>
        </is>
      </c>
      <c r="J13" s="31" t="inlineStr"/>
      <c r="K13" s="30" t="inlineStr"/>
      <c r="L13" s="31" t="inlineStr"/>
    </row>
    <row r="14" ht="60" customHeight="1">
      <c r="A14" s="34" t="inlineStr">
        <is>
          <t>UAT-AUTH-12</t>
        </is>
      </c>
      <c r="B14" s="35" t="inlineStr">
        <is>
          <t>C. Çok-Kurumlu Geçiş (Tenant Switcher)</t>
        </is>
      </c>
      <c r="C14" s="36" t="inlineStr">
        <is>
          <t>Kurumlar arası geçiş</t>
        </is>
      </c>
      <c r="D14" s="36" t="inlineStr">
        <is>
          <t>Çok-kurumlu kullanıcı (Kurum A + Kurum B üyesi).</t>
        </is>
      </c>
      <c r="E14" s="36" t="inlineStr">
        <is>
          <t>1. Giriş yap. Sol menünün üstündeki kurum seçiciye tıkla.
2. Açılan listede aktif kurumda ✓ işareti, diğer kurumların rol etiketini doğrula.
3. Kurum B'yi seç.</t>
        </is>
      </c>
      <c r="F14" s="36" t="inlineStr">
        <is>
          <t>• Bildirim: "Kurum değiştirildi".
• Sayfa Kurum B verisini gösteriyor; rolün B'deki rolüne göre değişiyor
(örn. B'de izleyiciysen ayar sayfaları kısıtlı).
• Tekrar seçiciden Kurum A'ya dönülebiliyor.</t>
        </is>
      </c>
      <c r="G14" s="36" t="inlineStr"/>
      <c r="H14" s="30" t="inlineStr"/>
      <c r="I14" s="37" t="inlineStr">
        <is>
          <t>Yüksek</t>
        </is>
      </c>
      <c r="J14" s="35" t="inlineStr"/>
      <c r="K14" s="34" t="inlineStr"/>
      <c r="L14" s="35" t="inlineStr"/>
    </row>
    <row r="15" ht="34" customHeight="1">
      <c r="A15" s="30" t="inlineStr">
        <is>
          <t>UAT-AUTH-13</t>
        </is>
      </c>
      <c r="B15" s="31" t="inlineStr">
        <is>
          <t>C. Çok-Kurumlu Geçiş (Tenant Switcher)</t>
        </is>
      </c>
      <c r="C15" s="32" t="inlineStr">
        <is>
          <t>Kurum arama (çok kurum varsa)</t>
        </is>
      </c>
      <c r="D15" s="32" t="inlineStr">
        <is>
          <t>2'den fazla kuruma üye kullanıcı (varsa).</t>
        </is>
      </c>
      <c r="E15" s="32" t="inlineStr">
        <is>
          <t>1. Kurum seçiciyi aç → arama kutusuna kurum adının bir kısmını yaz.</t>
        </is>
      </c>
      <c r="F15" s="32" t="inlineStr">
        <is>
          <t>• Liste filtreleniyor; eşleşme yoksa "Eşleşen kurum yok."</t>
        </is>
      </c>
      <c r="G15" s="32" t="inlineStr"/>
      <c r="H15" s="30" t="inlineStr"/>
      <c r="I15" s="33" t="inlineStr">
        <is>
          <t>Yüksek</t>
        </is>
      </c>
      <c r="J15" s="31" t="inlineStr"/>
      <c r="K15" s="30" t="inlineStr"/>
      <c r="L15" s="31" t="inlineStr"/>
    </row>
    <row r="16" ht="73" customHeight="1">
      <c r="A16" s="34" t="inlineStr">
        <is>
          <t>UAT-AUTH-14</t>
        </is>
      </c>
      <c r="B16" s="35" t="inlineStr">
        <is>
          <t>C. Çok-Kurumlu Geçiş (Tenant Switcher)</t>
        </is>
      </c>
      <c r="C16" s="36" t="inlineStr">
        <is>
          <t>Seçiciden token ile yeni davet kabul</t>
        </is>
      </c>
      <c r="D16" s="36" t="inlineStr">
        <is>
          <t>Girişli kullanıcı + eline geçmiş geçerli bir davet token'ı.</t>
        </is>
      </c>
      <c r="E16" s="36" t="inlineStr">
        <is>
          <t>1. Kurum seçici → "Yeni davet kabul et".
2. Token'ı yapıştır; önizleme ile kurum/rol doğrulanınca şifreni gir →
"Daveti kabul et".</t>
        </is>
      </c>
      <c r="F16" s="36" t="inlineStr">
        <is>
          <t>• Token kısa/geçersizse: "Bu token geçersiz, süresi dolmuş veya kullanılmış."
• Geçerliyse önizleme (kurum + rol + davet edilen e-posta) ve şifre alanı görünüyor.
• Davet, giriş yaptığın e-postaya ait değilse: "⚠ Davet bu hesap için
değil. Kabul edilmeyecek." ve kabul butonu pasif.
• Doğru hesapsa kabul sonrası "Davet kabul edildi" + yeni kuruma geçiş.</t>
        </is>
      </c>
      <c r="G16" s="36" t="inlineStr"/>
      <c r="H16" s="30" t="inlineStr"/>
      <c r="I16" s="37" t="inlineStr">
        <is>
          <t>Yüksek</t>
        </is>
      </c>
      <c r="J16" s="35" t="inlineStr"/>
      <c r="K16" s="34" t="inlineStr"/>
      <c r="L16" s="35" t="inlineStr"/>
    </row>
    <row r="17" ht="47" customHeight="1">
      <c r="A17" s="30" t="inlineStr">
        <is>
          <t>UAT-AUTH-15</t>
        </is>
      </c>
      <c r="B17" s="31" t="inlineStr">
        <is>
          <t>D. Çıkış</t>
        </is>
      </c>
      <c r="C17" s="32" t="inlineStr">
        <is>
          <t>Çıkış yapma</t>
        </is>
      </c>
      <c r="D17" s="32" t="inlineStr">
        <is>
          <t>Girişli kullanıcı.</t>
        </is>
      </c>
      <c r="E17" s="32" t="inlineStr">
        <is>
          <t>1. Sol menünün altındaki kullanıcı menüsünü (avatar) aç.
2. Üstte ad + e-postanı doğrula.
3. "Çıkış yap"'a tıkla.</t>
        </is>
      </c>
      <c r="F17" s="32" t="inlineStr">
        <is>
          <t>• /login'e yönlendiriliyor.
• Geri tuşuyla korumalı sayfaya dönülemiyor (tekrar login isteniyor).</t>
        </is>
      </c>
      <c r="G17" s="32" t="inlineStr"/>
      <c r="H17" s="30" t="inlineStr"/>
      <c r="I17" s="33" t="inlineStr">
        <is>
          <t>Yüksek</t>
        </is>
      </c>
      <c r="J17" s="31" t="inlineStr"/>
      <c r="K17" s="30" t="inlineStr"/>
      <c r="L17" s="31" t="inlineStr"/>
    </row>
  </sheetData>
  <autoFilter ref="A2:L17"/>
  <mergeCells count="1">
    <mergeCell ref="A1:L1"/>
  </mergeCells>
  <conditionalFormatting sqref="H3:H17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17" showDropDown="0" showInputMessage="0" showErrorMessage="0" allowBlank="1" type="list">
      <formula1>"Geçti,Kaldı,Bloke,Uygulanamaz"</formula1>
    </dataValidation>
    <dataValidation sqref="I3:I17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02 · Panel &amp; Yönetici Özeti   (18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86" customHeight="1">
      <c r="A3" s="30" t="inlineStr">
        <is>
          <t>UAT-PNL-01</t>
        </is>
      </c>
      <c r="B3" s="31" t="inlineStr">
        <is>
          <t>A. Panel / Dashboard (/)</t>
        </is>
      </c>
      <c r="C3" s="32" t="inlineStr">
        <is>
          <t>Panel açılışı (dolu veri)</t>
        </is>
      </c>
      <c r="D3" s="32" t="inlineStr">
        <is>
          <t>Herhangi bir rol · Kurum A'da analizli veri var.</t>
        </is>
      </c>
      <c r="E3" s="32" t="inlineStr">
        <is>
          <t>1. Giriş yap (veya sol menü → Panel).</t>
        </is>
      </c>
      <c r="F3" s="32" t="inlineStr">
        <is>
          <t>• Üstte "Merhaba, {ad}" + aktif kurum adı + bugünün tarihi (Türkçe).
• Memnuniyet kartı: "Genel müşteri memnuniyeti" etiketi, büyük yüzde
(0'dan sayarak animasyonla artar), tek cümlelik durum (örn.
"Müşterileriniz memnun."), altında "Toplam {n} yorumdan {x} tanesi
olumlu, {y} tanesi olumsuz."
• Renkli memnuniyet çubuğu (Olumlu/Nötr/Olumsuz segmentleri).</t>
        </is>
      </c>
      <c r="G3" s="32" t="inlineStr"/>
      <c r="H3" s="30" t="inlineStr"/>
      <c r="I3" s="33" t="inlineStr">
        <is>
          <t>Orta</t>
        </is>
      </c>
      <c r="J3" s="31" t="inlineStr"/>
      <c r="K3" s="30" t="inlineStr"/>
      <c r="L3" s="31" t="inlineStr"/>
    </row>
    <row r="4" ht="47" customHeight="1">
      <c r="A4" s="34" t="inlineStr">
        <is>
          <t>UAT-PNL-02</t>
        </is>
      </c>
      <c r="B4" s="35" t="inlineStr">
        <is>
          <t>A. Panel / Dashboard (/)</t>
        </is>
      </c>
      <c r="C4" s="36" t="inlineStr">
        <is>
          <t>Boş kurumda "ilk dosya" çağrısı</t>
        </is>
      </c>
      <c r="D4" s="36" t="inlineStr">
        <is>
          <t>Herhangi bir rol · Kurum B (boş).</t>
        </is>
      </c>
      <c r="E4" s="36" t="inlineStr">
        <is>
          <t>1. Kurum B'ye geç, Panel'i aç.</t>
        </is>
      </c>
      <c r="F4" s="36" t="inlineStr">
        <is>
          <t>• Boş durum: "Müşterilerinizin sesini dinlemeye başlayın" + açıklama +
"İlk dosyanızı yükleyin" butonu (→ /analyze/upload).
• Yapay/karmaşık görünmüyor; sade bir davet ekranı.</t>
        </is>
      </c>
      <c r="G4" s="36" t="inlineStr"/>
      <c r="H4" s="30" t="inlineStr"/>
      <c r="I4" s="37" t="inlineStr">
        <is>
          <t>Orta</t>
        </is>
      </c>
      <c r="J4" s="35" t="inlineStr"/>
      <c r="K4" s="34" t="inlineStr"/>
      <c r="L4" s="35" t="inlineStr"/>
    </row>
    <row r="5" ht="47" customHeight="1">
      <c r="A5" s="30" t="inlineStr">
        <is>
          <t>UAT-PNL-03</t>
        </is>
      </c>
      <c r="B5" s="31" t="inlineStr">
        <is>
          <t>A. Panel / Dashboard (/)</t>
        </is>
      </c>
      <c r="C5" s="32" t="inlineStr">
        <is>
          <t>"Bu ayki önceliğiniz"</t>
        </is>
      </c>
      <c r="D5" s="32" t="inlineStr">
        <is>
          <t>Kurum A'da en az bir SWOT üretilmiş (öneri içeren).</t>
        </is>
      </c>
      <c r="E5" s="32" t="inlineStr">
        <is>
          <t>1. Panel'de "Bu ayki önceliğiniz" kartını incele.</t>
        </is>
      </c>
      <c r="F5" s="32" t="inlineStr">
        <is>
          <t>• En öncelikli SWOT önerisinin başlığı + açıklaması görünüyor.
• "Aksiyon planının tamamını gör" linki → /strategy.
• (SWOT yoksa bu kart hiç görünmez — bu da doğru davranış.)</t>
        </is>
      </c>
      <c r="G5" s="32" t="inlineStr"/>
      <c r="H5" s="30" t="inlineStr"/>
      <c r="I5" s="33" t="inlineStr">
        <is>
          <t>Orta</t>
        </is>
      </c>
      <c r="J5" s="31" t="inlineStr"/>
      <c r="K5" s="30" t="inlineStr"/>
      <c r="L5" s="31" t="inlineStr"/>
    </row>
    <row r="6" ht="47" customHeight="1">
      <c r="A6" s="34" t="inlineStr">
        <is>
          <t>UAT-PNL-04</t>
        </is>
      </c>
      <c r="B6" s="35" t="inlineStr">
        <is>
          <t>A. Panel / Dashboard (/)</t>
        </is>
      </c>
      <c r="C6" s="36" t="inlineStr">
        <is>
          <t>En çok şikayet edilen konular</t>
        </is>
      </c>
      <c r="D6" s="36" t="inlineStr">
        <is>
          <t>Kurum A · negatif yorumlar var.</t>
        </is>
      </c>
      <c r="E6" s="36" t="inlineStr">
        <is>
          <t>1. "En çok şikayet edilen konular" kartına bak.
2. Bir konu satırına tıkla.</t>
        </is>
      </c>
      <c r="F6" s="36" t="inlineStr">
        <is>
          <t>• Her satırda: sıra no, kategori, "{n} olumsuz yorum · şikayetlerin
%{x}'i", kırmızı oran çubuğu, örnek alıntı.
• Satıra tıklayınca Analiz Arşivi o kategori + NEGATİF filtresiyle açılıyor.</t>
        </is>
      </c>
      <c r="G6" s="36" t="inlineStr"/>
      <c r="H6" s="30" t="inlineStr"/>
      <c r="I6" s="37" t="inlineStr">
        <is>
          <t>Orta</t>
        </is>
      </c>
      <c r="J6" s="35" t="inlineStr"/>
      <c r="K6" s="34" t="inlineStr"/>
      <c r="L6" s="35" t="inlineStr"/>
    </row>
    <row r="7" ht="47" customHeight="1">
      <c r="A7" s="30" t="inlineStr">
        <is>
          <t>UAT-PNL-05</t>
        </is>
      </c>
      <c r="B7" s="31" t="inlineStr">
        <is>
          <t>A. Panel / Dashboard (/)</t>
        </is>
      </c>
      <c r="C7" s="32" t="inlineStr">
        <is>
          <t>Müşterinin Sesi</t>
        </is>
      </c>
      <c r="D7" s="32" t="inlineStr">
        <is>
          <t>Kurum A.</t>
        </is>
      </c>
      <c r="E7" s="32" t="inlineStr">
        <is>
          <t>1. "Müşterinin Sesi" kartını incele.
2. Bir alıntı kartına tıkla.</t>
        </is>
      </c>
      <c r="F7" s="32" t="inlineStr">
        <is>
          <t>• Gerçek yorum alıntıları + duygu rozeti (Olumlu/Nötr/Olumsuz) + kategori +
"X saat önce".
• Tıklayınca Analiz Arşivi ilgili filtreyle açılıyor.</t>
        </is>
      </c>
      <c r="G7" s="32" t="inlineStr"/>
      <c r="H7" s="30" t="inlineStr"/>
      <c r="I7" s="33" t="inlineStr">
        <is>
          <t>Orta</t>
        </is>
      </c>
      <c r="J7" s="31" t="inlineStr"/>
      <c r="K7" s="30" t="inlineStr"/>
      <c r="L7" s="31" t="inlineStr"/>
    </row>
    <row r="8" ht="73" customHeight="1">
      <c r="A8" s="34" t="inlineStr">
        <is>
          <t>UAT-PNL-06</t>
        </is>
      </c>
      <c r="B8" s="35" t="inlineStr">
        <is>
          <t>A. Panel / Dashboard (/)</t>
        </is>
      </c>
      <c r="C8" s="36" t="inlineStr">
        <is>
          <t>Hızlı yükleme (sürükle-bırak)</t>
        </is>
      </c>
      <c r="D8" s="36" t="inlineStr">
        <is>
          <t>Analist/Yönetici · temiz.xlsx.</t>
        </is>
      </c>
      <c r="E8" s="36" t="inlineStr">
        <is>
          <t>1. Sağ raydaki "Hızlı yükleme" alanına temiz.xlsx'i sürükle-bırak.
2. İlerlemeyi izle.</t>
        </is>
      </c>
      <c r="F8" s="36" t="inlineStr">
        <is>
          <t>• "Dosya yükleniyor…" → ilerleme çubuğu → "Analiz tamamlandı" +
"{x} yorum analiz edildi. Yukarıdaki rapor güncellendi."
• "Sonuçları gör" butonu çalışıyor.
• Standart dışı kolonlu dosyada hata mesajı çıkıp "gelişmiş yükleme"
(/analyze/upload) öneriliyor.</t>
        </is>
      </c>
      <c r="G8" s="36" t="inlineStr"/>
      <c r="H8" s="30" t="inlineStr"/>
      <c r="I8" s="37" t="inlineStr">
        <is>
          <t>Orta</t>
        </is>
      </c>
      <c r="J8" s="35" t="inlineStr"/>
      <c r="K8" s="34" t="inlineStr"/>
      <c r="L8" s="35" t="inlineStr"/>
    </row>
    <row r="9" ht="47" customHeight="1">
      <c r="A9" s="30" t="inlineStr">
        <is>
          <t>UAT-PNL-07</t>
        </is>
      </c>
      <c r="B9" s="31" t="inlineStr">
        <is>
          <t>A. Panel / Dashboard (/)</t>
        </is>
      </c>
      <c r="C9" s="32" t="inlineStr">
        <is>
          <t>Hızlı işlemler + yönetici özeti şeridi</t>
        </is>
      </c>
      <c r="D9" s="32" t="inlineStr">
        <is>
          <t>Kurum A.</t>
        </is>
      </c>
      <c r="E9" s="32" t="inlineStr">
        <is>
          <t>1. Sağ raydaki "Hızlı işlemler" linklerini (Yönetici Özeti / SWOT-OKR /
Ticket'lar / Rapor indir) tek tek dene.
2. Panelde "Yönetici Özeti" şeridini incele (varsa son brifing başlığı).</t>
        </is>
      </c>
      <c r="F9" s="32" t="inlineStr">
        <is>
          <t>• 4 hızlı link doğru sayfalara gidiyor.
• Brifing varsa başlık + ilk içgörüler + "Özetin tamamını gör"; yoksa
"Yönetici özetinizi oluşturun" çağrısı.</t>
        </is>
      </c>
      <c r="G9" s="32" t="inlineStr"/>
      <c r="H9" s="30" t="inlineStr"/>
      <c r="I9" s="33" t="inlineStr">
        <is>
          <t>Orta</t>
        </is>
      </c>
      <c r="J9" s="31" t="inlineStr"/>
      <c r="K9" s="30" t="inlineStr"/>
      <c r="L9" s="31" t="inlineStr"/>
    </row>
    <row r="10" ht="47" customHeight="1">
      <c r="A10" s="34" t="inlineStr">
        <is>
          <t>UAT-PNL-08</t>
        </is>
      </c>
      <c r="B10" s="35" t="inlineStr">
        <is>
          <t>A. Panel / Dashboard (/)</t>
        </is>
      </c>
      <c r="C10" s="36" t="inlineStr">
        <is>
          <t>Sınıflandırma kalitesi çipi</t>
        </is>
      </c>
      <c r="D10" s="36" t="inlineStr">
        <is>
          <t>Kurum A · "belirsiz" oranı &gt; %5 olan veri.</t>
        </is>
      </c>
      <c r="E10" s="36" t="inlineStr">
        <is>
          <t>1. Panelde sınıflandırma kalitesi çipini bul (oran düşükse görünür).</t>
        </is>
      </c>
      <c r="F10" s="36" t="inlineStr">
        <is>
          <t>• Durum etiketi (İyi / İyileştirilebilir / Düşük) + açıklama; tıklayınca
/insights?tab=category açılıyor.
• Oran ≤ %5 ise çip hiç görünmez (doğru davranış).</t>
        </is>
      </c>
      <c r="G10" s="36" t="inlineStr"/>
      <c r="H10" s="30" t="inlineStr"/>
      <c r="I10" s="37" t="inlineStr">
        <is>
          <t>Orta</t>
        </is>
      </c>
      <c r="J10" s="35" t="inlineStr"/>
      <c r="K10" s="34" t="inlineStr"/>
      <c r="L10" s="35" t="inlineStr"/>
    </row>
    <row r="11" ht="47" customHeight="1">
      <c r="A11" s="30" t="inlineStr">
        <is>
          <t>UAT-EXB-01</t>
        </is>
      </c>
      <c r="B11" s="31" t="inlineStr">
        <is>
          <t>B. Yönetici Özeti (/executive-briefing)</t>
        </is>
      </c>
      <c r="C11" s="32" t="inlineStr">
        <is>
          <t>Anahtar yokken uyarı</t>
        </is>
      </c>
      <c r="D11" s="32" t="inlineStr">
        <is>
          <t>Aktif Gemini anahtarı olmayan kurum.</t>
        </is>
      </c>
      <c r="E11" s="32" t="inlineStr">
        <is>
          <t>1. Sol menü → Yönetici Özeti.</t>
        </is>
      </c>
      <c r="F11" s="32" t="inlineStr">
        <is>
          <t>• Amber uyarı: "Yönetici özeti oluşturmak için Gemini API anahtarı gerekli."
• "Anahtar ekle" butonu → /settings/integrations.
• "Yeni özet üret" butonu pasif.</t>
        </is>
      </c>
      <c r="G11" s="32" t="inlineStr"/>
      <c r="H11" s="30" t="inlineStr"/>
      <c r="I11" s="33" t="inlineStr">
        <is>
          <t>Orta</t>
        </is>
      </c>
      <c r="J11" s="31" t="inlineStr"/>
      <c r="K11" s="30" t="inlineStr"/>
      <c r="L11" s="31" t="inlineStr"/>
    </row>
    <row r="12" ht="60" customHeight="1">
      <c r="A12" s="34" t="inlineStr">
        <is>
          <t>UAT-EXB-02</t>
        </is>
      </c>
      <c r="B12" s="35" t="inlineStr">
        <is>
          <t>B. Yönetici Özeti (/executive-briefing)</t>
        </is>
      </c>
      <c r="C12" s="36" t="inlineStr">
        <is>
          <t>Yeni özet üretme</t>
        </is>
      </c>
      <c r="D12" s="36" t="inlineStr">
        <is>
          <t>Aktif Gemini anahtarı olan, verili Kurum A.</t>
        </is>
      </c>
      <c r="E12" s="36" t="inlineStr">
        <is>
          <t>1. Dönem'i seç (Haftalık / Aylık / Üç aylık).
2. "Yeni özet üret"'e bas, üretimi bekle.</t>
        </is>
      </c>
      <c r="F12" s="36" t="inlineStr">
        <is>
          <t>• Üretim sırasında buton spinner gösteriyor.
• Bitince bildirim "Brifing hazır."; yeni brifing otomatik seçiliyor.
• Detayda: başlık, KPI Değişimleri, Kritik İçgörüler, Öncelikli
Aksiyonlar bölümleri.</t>
        </is>
      </c>
      <c r="G12" s="36" t="inlineStr"/>
      <c r="H12" s="30" t="inlineStr"/>
      <c r="I12" s="37" t="inlineStr">
        <is>
          <t>Orta</t>
        </is>
      </c>
      <c r="J12" s="35" t="inlineStr"/>
      <c r="K12" s="34" t="inlineStr"/>
      <c r="L12" s="35" t="inlineStr"/>
    </row>
    <row r="13" ht="34" customHeight="1">
      <c r="A13" s="30" t="inlineStr">
        <is>
          <t>UAT-EXB-03</t>
        </is>
      </c>
      <c r="B13" s="31" t="inlineStr">
        <is>
          <t>B. Yönetici Özeti (/executive-briefing)</t>
        </is>
      </c>
      <c r="C13" s="32" t="inlineStr">
        <is>
          <t>Öncelikli aksiyonlara gitme</t>
        </is>
      </c>
      <c r="D13" s="32" t="inlineStr">
        <is>
          <t>Brifing üretilmiş (UAT-EXB-02).</t>
        </is>
      </c>
      <c r="E13" s="32" t="inlineStr">
        <is>
          <t>1. Detayda Öncelikli Aksiyonlar altında bir aksiyon kartına tıkla.</t>
        </is>
      </c>
      <c r="F13" s="32" t="inlineStr">
        <is>
          <t>• İlgili aksiyon kalemine (/action-items/...) gidiliyor (bağlı aksiyon varsa).</t>
        </is>
      </c>
      <c r="G13" s="32" t="inlineStr"/>
      <c r="H13" s="30" t="inlineStr"/>
      <c r="I13" s="33" t="inlineStr">
        <is>
          <t>Orta</t>
        </is>
      </c>
      <c r="J13" s="31" t="inlineStr"/>
      <c r="K13" s="30" t="inlineStr"/>
      <c r="L13" s="31" t="inlineStr"/>
    </row>
    <row r="14" ht="34" customHeight="1">
      <c r="A14" s="34" t="inlineStr">
        <is>
          <t>UAT-EXB-04</t>
        </is>
      </c>
      <c r="B14" s="35" t="inlineStr">
        <is>
          <t>B. Yönetici Özeti (/executive-briefing)</t>
        </is>
      </c>
      <c r="C14" s="36" t="inlineStr">
        <is>
          <t>Geçmiş özetler</t>
        </is>
      </c>
      <c r="D14" s="36" t="inlineStr">
        <is>
          <t>En az 2 brifing üretilmiş.</t>
        </is>
      </c>
      <c r="E14" s="36" t="inlineStr">
        <is>
          <t>1. "Geçmiş Özetler" listesinden eski bir özette "Görüntüle"'ye bas.</t>
        </is>
      </c>
      <c r="F14" s="36" t="inlineStr">
        <is>
          <t>• Seçilen özet detayda açılıyor; URL güncelleniyor (paylaşılabilir).
• Hiç yoksa: "Henüz brifing yok."</t>
        </is>
      </c>
      <c r="G14" s="36" t="inlineStr"/>
      <c r="H14" s="30" t="inlineStr"/>
      <c r="I14" s="37" t="inlineStr">
        <is>
          <t>Orta</t>
        </is>
      </c>
      <c r="J14" s="35" t="inlineStr"/>
      <c r="K14" s="34" t="inlineStr"/>
      <c r="L14" s="35" t="inlineStr"/>
    </row>
    <row r="15" ht="47" customHeight="1">
      <c r="A15" s="30" t="inlineStr">
        <is>
          <t>UAT-STR-01</t>
        </is>
      </c>
      <c r="B15" s="31" t="inlineStr">
        <is>
          <t>C. Strateji (/strategy)</t>
        </is>
      </c>
      <c r="C15" s="32" t="inlineStr">
        <is>
          <t>Anahtar yokken uyarı + geçmiş erişimi</t>
        </is>
      </c>
      <c r="D15" s="32" t="inlineStr">
        <is>
          <t>Aktif anahtarı olmayan kurum.</t>
        </is>
      </c>
      <c r="E15" s="32" t="inlineStr">
        <is>
          <t>1. Sol menü → Strateji.</t>
        </is>
      </c>
      <c r="F15" s="32" t="inlineStr">
        <is>
          <t>• Amber uyarı: "Strateji raporu üretmek için Gemini API anahtarı gerekli."
+ "Anahtar ekle".
• Geçmiş raporlar yine görüntülenip indirilebiliyor; üretim pasif.</t>
        </is>
      </c>
      <c r="G15" s="32" t="inlineStr"/>
      <c r="H15" s="30" t="inlineStr"/>
      <c r="I15" s="33" t="inlineStr">
        <is>
          <t>Orta</t>
        </is>
      </c>
      <c r="J15" s="31" t="inlineStr"/>
      <c r="K15" s="30" t="inlineStr"/>
      <c r="L15" s="31" t="inlineStr"/>
    </row>
    <row r="16" ht="47" customHeight="1">
      <c r="A16" s="34" t="inlineStr">
        <is>
          <t>UAT-STR-02</t>
        </is>
      </c>
      <c r="B16" s="35" t="inlineStr">
        <is>
          <t>C. Strateji (/strategy)</t>
        </is>
      </c>
      <c r="C16" s="36" t="inlineStr">
        <is>
          <t>SWOT üretme</t>
        </is>
      </c>
      <c r="D16" s="36" t="inlineStr">
        <is>
          <t>Aktif anahtar + verili Kurum A.</t>
        </is>
      </c>
      <c r="E16" s="36" t="inlineStr">
        <is>
          <t>1. "SWOT Üret" sekmesinde tarih aralığını boş bırak (son 90 gün) ya da seç.
2. "SWOT üret"'e bas.</t>
        </is>
      </c>
      <c r="F16" s="36" t="inlineStr">
        <is>
          <t>• Bildirim "SWOT raporu hazır."
• 4 çeyrek görünüyor: Güçlü Yönler / Zayıf Yönler / Fırsatlar / Tehditler,
her maddede kanıt; altında Stratejik Öneriler (öncelik + etki rozetli).</t>
        </is>
      </c>
      <c r="G16" s="36" t="inlineStr"/>
      <c r="H16" s="30" t="inlineStr"/>
      <c r="I16" s="37" t="inlineStr">
        <is>
          <t>Orta</t>
        </is>
      </c>
      <c r="J16" s="35" t="inlineStr"/>
      <c r="K16" s="34" t="inlineStr"/>
      <c r="L16" s="35" t="inlineStr"/>
    </row>
    <row r="17" ht="34" customHeight="1">
      <c r="A17" s="30" t="inlineStr">
        <is>
          <t>UAT-STR-03</t>
        </is>
      </c>
      <c r="B17" s="31" t="inlineStr">
        <is>
          <t>C. Strateji (/strategy)</t>
        </is>
      </c>
      <c r="C17" s="32" t="inlineStr">
        <is>
          <t>SWOT'tan aksiyon çıkarma</t>
        </is>
      </c>
      <c r="D17" s="32" t="inlineStr">
        <is>
          <t>Üretilmiş bir SWOT açık.</t>
        </is>
      </c>
      <c r="E17" s="32" t="inlineStr">
        <is>
          <t>1. SWOT görüntüleyicide "Aksiyon olarak çıkar"'a bas.</t>
        </is>
      </c>
      <c r="F17" s="32" t="inlineStr">
        <is>
          <t>• Bildirim "{n} aksiyon eklendi." + "Görüntüle" linki (/action-items).</t>
        </is>
      </c>
      <c r="G17" s="32" t="inlineStr"/>
      <c r="H17" s="30" t="inlineStr"/>
      <c r="I17" s="33" t="inlineStr">
        <is>
          <t>Orta</t>
        </is>
      </c>
      <c r="J17" s="31" t="inlineStr"/>
      <c r="K17" s="30" t="inlineStr"/>
      <c r="L17" s="31" t="inlineStr"/>
    </row>
    <row r="18" ht="47" customHeight="1">
      <c r="A18" s="34" t="inlineStr">
        <is>
          <t>UAT-STR-04</t>
        </is>
      </c>
      <c r="B18" s="35" t="inlineStr">
        <is>
          <t>C. Strateji (/strategy)</t>
        </is>
      </c>
      <c r="C18" s="36" t="inlineStr">
        <is>
          <t>OKR üretme (kaynak SWOT'tan)</t>
        </is>
      </c>
      <c r="D18" s="36" t="inlineStr">
        <is>
          <t>En az bir SWOT raporu var.</t>
        </is>
      </c>
      <c r="E18" s="36" t="inlineStr">
        <is>
          <t>1. "OKR Üret" sekmesine geç.
2. Kaynak SWOT seç (yoksa: "Önce bir SWOT raporu üretmeniz gerekir.").
3. "OKR üret"'e bas.</t>
        </is>
      </c>
      <c r="F18" s="36" t="inlineStr">
        <is>
          <t>• Bildirim "OKR raporu hazır."
• Hedefler listeleniyor: her hedefin Anahtar Sonuçları (Metrik / Mevcut / Hedef).</t>
        </is>
      </c>
      <c r="G18" s="36" t="inlineStr"/>
      <c r="H18" s="30" t="inlineStr"/>
      <c r="I18" s="37" t="inlineStr">
        <is>
          <t>Orta</t>
        </is>
      </c>
      <c r="J18" s="35" t="inlineStr"/>
      <c r="K18" s="34" t="inlineStr"/>
      <c r="L18" s="35" t="inlineStr"/>
    </row>
    <row r="19" ht="34" customHeight="1">
      <c r="A19" s="30" t="inlineStr">
        <is>
          <t>UAT-STR-05</t>
        </is>
      </c>
      <c r="B19" s="31" t="inlineStr">
        <is>
          <t>C. Strateji (/strategy)</t>
        </is>
      </c>
      <c r="C19" s="32" t="inlineStr">
        <is>
          <t>PDF indirme</t>
        </is>
      </c>
      <c r="D19" s="32" t="inlineStr">
        <is>
          <t>Üretilmiş bir SWOT veya OKR raporu.</t>
        </is>
      </c>
      <c r="E19" s="32" t="inlineStr">
        <is>
          <t>1. Rapor görüntüleyicide "PDF" butonuna bas.</t>
        </is>
      </c>
      <c r="F19" s="32" t="inlineStr">
        <is>
          <t>• PDF iniyor (dosya adı imga-swot-... / imga-okr-...).
• PDF içeriği ekrandaki raporla tutarlı.</t>
        </is>
      </c>
      <c r="G19" s="32" t="inlineStr"/>
      <c r="H19" s="30" t="inlineStr"/>
      <c r="I19" s="33" t="inlineStr">
        <is>
          <t>Orta</t>
        </is>
      </c>
      <c r="J19" s="31" t="inlineStr"/>
      <c r="K19" s="30" t="inlineStr"/>
      <c r="L19" s="31" t="inlineStr"/>
    </row>
    <row r="20" ht="47" customHeight="1">
      <c r="A20" s="34" t="inlineStr">
        <is>
          <t>UAT-STR-06</t>
        </is>
      </c>
      <c r="B20" s="35" t="inlineStr">
        <is>
          <t>C. Strateji (/strategy)</t>
        </is>
      </c>
      <c r="C20" s="36" t="inlineStr">
        <is>
          <t>Geçmiş sekmesi ve filtre</t>
        </is>
      </c>
      <c r="D20" s="36" t="inlineStr">
        <is>
          <t>Birden çok rapor var.</t>
        </is>
      </c>
      <c r="E20" s="36" t="inlineStr">
        <is>
          <t>1. "Geçmiş" sekmesine geç.
2. Tür filtresini SWOT / OKR / Tümü arasında değiştir.
3. Bir rapora "Görüntüle", sonra "PDF" dene; sayfalama varsa gez.</t>
        </is>
      </c>
      <c r="F20" s="36" t="inlineStr">
        <is>
          <t>• Liste türe göre filtreleniyor, "{n} kayıt" sayacı doğru.
• Görüntüle ilgili sekmeyi açıyor; PDF iniyor.
• Hiç yoksa: "Henüz rapor yok."</t>
        </is>
      </c>
      <c r="G20" s="36" t="inlineStr"/>
      <c r="H20" s="30" t="inlineStr"/>
      <c r="I20" s="37" t="inlineStr">
        <is>
          <t>Orta</t>
        </is>
      </c>
      <c r="J20" s="35" t="inlineStr"/>
      <c r="K20" s="34" t="inlineStr"/>
      <c r="L20" s="35" t="inlineStr"/>
    </row>
  </sheetData>
  <autoFilter ref="A2:L20"/>
  <mergeCells count="1">
    <mergeCell ref="A1:L1"/>
  </mergeCells>
  <conditionalFormatting sqref="H3:H20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20" showDropDown="0" showInputMessage="0" showErrorMessage="0" allowBlank="1" type="list">
      <formula1>"Geçti,Kaldı,Bloke,Uygulanamaz"</formula1>
    </dataValidation>
    <dataValidation sqref="I3:I20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03 · Analitik   (15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73" customHeight="1">
      <c r="A3" s="30" t="inlineStr">
        <is>
          <t>UAT-INS-01</t>
        </is>
      </c>
      <c r="B3" s="31" t="inlineStr">
        <is>
          <t>A. İçgörüler (/insights)</t>
        </is>
      </c>
      <c r="C3" s="32" t="inlineStr">
        <is>
          <t>Sayfa ve filtre çubuğu</t>
        </is>
      </c>
      <c r="D3" s="32" t="inlineStr">
        <is>
          <t>Herhangi bir rol · Kurum A.</t>
        </is>
      </c>
      <c r="E3" s="32" t="inlineStr">
        <is>
          <t>1. Sol menü → Analitik → İçgörüler.
2. Başlangıç / Bitiş tarihleri ve Kaynak (Tümü / Sadece Manuel /
Sadece Toplu) filtrelerini dene.</t>
        </is>
      </c>
      <c r="F3" s="32" t="inlineStr">
        <is>
          <t>• Başlık "İçgörüler", alt başlık "Duygu, kategori ve Ticket
metriklerinin ayrıntılı görünümü."
• Tarih boşken bilgi rozeti: "Tüm zamanlar" + "Filtre uygulanmadı —
başlangıç ve bitiş seçerek daraltın."
• Tarih/kaynak değişimi grafikleri güncelliyor ve URL'ye yansıyor.</t>
        </is>
      </c>
      <c r="G3" s="32" t="inlineStr"/>
      <c r="H3" s="30" t="inlineStr"/>
      <c r="I3" s="33" t="inlineStr">
        <is>
          <t>Orta</t>
        </is>
      </c>
      <c r="J3" s="31" t="inlineStr"/>
      <c r="K3" s="30" t="inlineStr"/>
      <c r="L3" s="31" t="inlineStr"/>
    </row>
    <row r="4" ht="47" customHeight="1">
      <c r="A4" s="34" t="inlineStr">
        <is>
          <t>UAT-INS-02</t>
        </is>
      </c>
      <c r="B4" s="35" t="inlineStr">
        <is>
          <t>A. İçgörüler (/insights)</t>
        </is>
      </c>
      <c r="C4" s="36" t="inlineStr">
        <is>
          <t>Duygu sekmesi (3 grafik)</t>
        </is>
      </c>
      <c r="D4" s="36" t="inlineStr">
        <is>
          <t>Kurum A.</t>
        </is>
      </c>
      <c r="E4" s="36" t="inlineStr">
        <is>
          <t>1. Duygu sekmesini aç.</t>
        </is>
      </c>
      <c r="F4" s="36" t="inlineStr">
        <is>
          <t>• "Duygu Dağılımı" (halka grafik), "Skor Histogramı" (çubuk),
"Duygu Trendi (gün)" (çizgi) görünüyor.
• Renk kodları tutarlı (negatif kırmızı, nötr gri, pozitif yeşil).</t>
        </is>
      </c>
      <c r="G4" s="36" t="inlineStr"/>
      <c r="H4" s="30" t="inlineStr"/>
      <c r="I4" s="37" t="inlineStr">
        <is>
          <t>Orta</t>
        </is>
      </c>
      <c r="J4" s="35" t="inlineStr"/>
      <c r="K4" s="34" t="inlineStr"/>
      <c r="L4" s="35" t="inlineStr"/>
    </row>
    <row r="5" ht="47" customHeight="1">
      <c r="A5" s="30" t="inlineStr">
        <is>
          <t>UAT-INS-03</t>
        </is>
      </c>
      <c r="B5" s="31" t="inlineStr">
        <is>
          <t>A. İçgörüler (/insights)</t>
        </is>
      </c>
      <c r="C5" s="32" t="inlineStr">
        <is>
          <t>Kategori ve Çapraz (drill-down)</t>
        </is>
      </c>
      <c r="D5" s="32" t="inlineStr">
        <is>
          <t>Kurum A.</t>
        </is>
      </c>
      <c r="E5" s="32" t="inlineStr">
        <is>
          <t>1. Kategori sekmesi → "Kategori Top 10" çubuk grafiğini gör.
2. Çapraz sekmesi → "Kategori × Duygu Matrisi"'nde bir hücreye tıkla.</t>
        </is>
      </c>
      <c r="F5" s="32" t="inlineStr">
        <is>
          <t>• Matris hücresine tıklayınca Analiz Arşivi ilgili kategori + duygu
filtresiyle açılıyor.
• "Belirsiz" kategori tablonun en altında.</t>
        </is>
      </c>
      <c r="G5" s="32" t="inlineStr"/>
      <c r="H5" s="30" t="inlineStr"/>
      <c r="I5" s="33" t="inlineStr">
        <is>
          <t>Orta</t>
        </is>
      </c>
      <c r="J5" s="31" t="inlineStr"/>
      <c r="K5" s="30" t="inlineStr"/>
      <c r="L5" s="31" t="inlineStr"/>
    </row>
    <row r="6" ht="34" customHeight="1">
      <c r="A6" s="34" t="inlineStr">
        <is>
          <t>UAT-INS-04</t>
        </is>
      </c>
      <c r="B6" s="35" t="inlineStr">
        <is>
          <t>A. İçgörüler (/insights)</t>
        </is>
      </c>
      <c r="C6" s="36" t="inlineStr">
        <is>
          <t>NPS ve Ticket sekmeleri</t>
        </is>
      </c>
      <c r="D6" s="36" t="inlineStr">
        <is>
          <t>Kurum A · NPS verisi ve çözülmüş ticket'lar var.</t>
        </is>
      </c>
      <c r="E6" s="36" t="inlineStr">
        <is>
          <t>1. NPS sekmesi → büyük skor + bucket dağılımı + aylık trendi gör.
2. Ticket sekmesi → çözüm süresi dağılımı + Ortalama/Ortanca/p95 kartları.</t>
        </is>
      </c>
      <c r="F6" s="36" t="inlineStr">
        <is>
          <t>• NPS skoru görünüyor (veri yoksa "—"); bucket pastası (Detractor/Passive/Promoter).
• Çözüm süresi istatistikleri "saat" cinsinden.</t>
        </is>
      </c>
      <c r="G6" s="36" t="inlineStr"/>
      <c r="H6" s="30" t="inlineStr"/>
      <c r="I6" s="37" t="inlineStr">
        <is>
          <t>Orta</t>
        </is>
      </c>
      <c r="J6" s="35" t="inlineStr"/>
      <c r="K6" s="34" t="inlineStr"/>
      <c r="L6" s="35" t="inlineStr"/>
    </row>
    <row r="7" ht="47" customHeight="1">
      <c r="A7" s="30" t="inlineStr">
        <is>
          <t>UAT-INS-05</t>
        </is>
      </c>
      <c r="B7" s="31" t="inlineStr">
        <is>
          <t>A. İçgörüler (/insights)</t>
        </is>
      </c>
      <c r="C7" s="32" t="inlineStr">
        <is>
          <t>Isı haritası (eksen seçimi + drill-down)</t>
        </is>
      </c>
      <c r="D7" s="32" t="inlineStr">
        <is>
          <t>Kurum A.</t>
        </is>
      </c>
      <c r="E7" s="32" t="inlineStr">
        <is>
          <t>1. Isı haritası sekmesi → X/Y eksenlerini ve Metrik'i seç.
2. Aynı ekseni X ve Y'ye koymayı dene.
3. Dolu bir hücreye tıkla.</t>
        </is>
      </c>
      <c r="F7" s="32" t="inlineStr">
        <is>
          <t>• X=Y olursa: "X ve Y eksenleri farklı olmalı." uyarısı.
• Hücreye tıklayınca Analiz Arşivi ilgili zaman filtresiyle açılıyor.</t>
        </is>
      </c>
      <c r="G7" s="32" t="inlineStr"/>
      <c r="H7" s="30" t="inlineStr"/>
      <c r="I7" s="33" t="inlineStr">
        <is>
          <t>Orta</t>
        </is>
      </c>
      <c r="J7" s="31" t="inlineStr"/>
      <c r="K7" s="30" t="inlineStr"/>
      <c r="L7" s="31" t="inlineStr"/>
    </row>
    <row r="8" ht="60" customHeight="1">
      <c r="A8" s="34" t="inlineStr">
        <is>
          <t>UAT-INS-06</t>
        </is>
      </c>
      <c r="B8" s="35" t="inlineStr">
        <is>
          <t>A. İçgörüler (/insights)</t>
        </is>
      </c>
      <c r="C8" s="36" t="inlineStr">
        <is>
          <t>Kohort, Kelimeler, Perspektif, Kural Katmanları</t>
        </is>
      </c>
      <c r="D8" s="36" t="inlineStr">
        <is>
          <t>Kurum A.</t>
        </is>
      </c>
      <c r="E8" s="36" t="inlineStr">
        <is>
          <t>1. Kohort: Dönem/Boyut/Top kohort kontrollerini değiştir.
2. Kelimeler: Duygu/Kategori/İkili kelimeler ile kelime bulutunu süz.
3. Perspektif: "Şirket Perspektifi Top 10"da bir bara tıkla.
4. Kural Katmanları: katman tetikleme grafiğini gör.</t>
        </is>
      </c>
      <c r="F8" s="36" t="inlineStr">
        <is>
          <t>• Her sekme veri gösteriyor veya "Bu filtrelerle veri bulunamadı." boş
durumu veriyor; uygulama çökmüyor.
• Perspektif barına tıklayınca Analiz Arşivi perspektif filtresiyle açılıyor.</t>
        </is>
      </c>
      <c r="G8" s="36" t="inlineStr"/>
      <c r="H8" s="30" t="inlineStr"/>
      <c r="I8" s="37" t="inlineStr">
        <is>
          <t>Orta</t>
        </is>
      </c>
      <c r="J8" s="35" t="inlineStr"/>
      <c r="K8" s="34" t="inlineStr"/>
      <c r="L8" s="35" t="inlineStr"/>
    </row>
    <row r="9" ht="47" customHeight="1">
      <c r="A9" s="30" t="inlineStr">
        <is>
          <t>UAT-INS-07</t>
        </is>
      </c>
      <c r="B9" s="31" t="inlineStr">
        <is>
          <t>A. İçgörüler (/insights)</t>
        </is>
      </c>
      <c r="C9" s="32" t="inlineStr">
        <is>
          <t>Sekme/filtre URL kalıcılığı</t>
        </is>
      </c>
      <c r="D9" s="32" t="inlineStr">
        <is>
          <t>Kurum A.</t>
        </is>
      </c>
      <c r="E9" s="32" t="inlineStr">
        <is>
          <t>1. Bir sekme + tarih filtresi seç.
2. Sayfayı yenile (F5); sonra tarayıcı geri/ileri tuşlarını dene.
3. URL'yi kopyalayıp yeni sekmede aç.</t>
        </is>
      </c>
      <c r="F9" s="32" t="inlineStr">
        <is>
          <t>• Yenileme ve geri/ileri seçimi koruyor; kopyalanan URL aynı görünümü açıyor.</t>
        </is>
      </c>
      <c r="G9" s="32" t="inlineStr"/>
      <c r="H9" s="30" t="inlineStr"/>
      <c r="I9" s="33" t="inlineStr">
        <is>
          <t>Orta</t>
        </is>
      </c>
      <c r="J9" s="31" t="inlineStr"/>
      <c r="K9" s="30" t="inlineStr"/>
      <c r="L9" s="31" t="inlineStr"/>
    </row>
    <row r="10" ht="73" customHeight="1">
      <c r="A10" s="34" t="inlineStr">
        <is>
          <t>UAT-REV-01</t>
        </is>
      </c>
      <c r="B10" s="35" t="inlineStr">
        <is>
          <t>B. Analiz Arşivi (/reviews)</t>
        </is>
      </c>
      <c r="C10" s="36" t="inlineStr">
        <is>
          <t>Liste ve sayaç</t>
        </is>
      </c>
      <c r="D10" s="36" t="inlineStr">
        <is>
          <t>Kurum A.</t>
        </is>
      </c>
      <c r="E10" s="36" t="inlineStr">
        <is>
          <t>1. Sol menü → Analitik → Analiz Arşivi.</t>
        </is>
      </c>
      <c r="F10" s="36" t="inlineStr">
        <is>
          <t>• Başlık "Analiz Arşivi", alt başlık "Tüm analizler — manuel ve toplu
giriş bir arada. {n} kayıt".
• Her satır: yorum metni (2 satır), duygu rozeti (Olumlu/Nötr/Olumsuz),
kategori, tarih, kaynak; ticket varsa "Ticket var", düzeltme varsa
"düzeltildi" rozeti. Sol kenar duygu rengiyle çizgili.</t>
        </is>
      </c>
      <c r="G10" s="36" t="inlineStr"/>
      <c r="H10" s="30" t="inlineStr"/>
      <c r="I10" s="37" t="inlineStr">
        <is>
          <t>Orta</t>
        </is>
      </c>
      <c r="J10" s="35" t="inlineStr"/>
      <c r="K10" s="34" t="inlineStr"/>
      <c r="L10" s="35" t="inlineStr"/>
    </row>
    <row r="11" ht="47" customHeight="1">
      <c r="A11" s="30" t="inlineStr">
        <is>
          <t>UAT-REV-02</t>
        </is>
      </c>
      <c r="B11" s="31" t="inlineStr">
        <is>
          <t>B. Analiz Arşivi (/reviews)</t>
        </is>
      </c>
      <c r="C11" s="32" t="inlineStr">
        <is>
          <t>Perspektif ve yükleme filtreleri + pill'ler</t>
        </is>
      </c>
      <c r="D11" s="32" t="inlineStr">
        <is>
          <t>Kurum A · taksonomi + en az bir toplu yükleme var.</t>
        </is>
      </c>
      <c r="E11" s="32" t="inlineStr">
        <is>
          <t>1. "Şirket perspektifi" açılırından bir-iki perspektif seç.
2. "Yükleme seç" açılırından bir yükleme seç.
3. Üstte beliren filtre pill'lerinden birine tıklayıp temizle.</t>
        </is>
      </c>
      <c r="F11" s="32" t="inlineStr">
        <is>
          <t>• Seçimler listeyi daraltıyor; aktif filtreler pill olarak görünüyor
(örn. "Yükleme: ab12cd34…", "Duygu: Olumsuz").
• Pill'e tıklamak o filtreyi temizliyor.</t>
        </is>
      </c>
      <c r="G11" s="32" t="inlineStr"/>
      <c r="H11" s="30" t="inlineStr"/>
      <c r="I11" s="33" t="inlineStr">
        <is>
          <t>Orta</t>
        </is>
      </c>
      <c r="J11" s="31" t="inlineStr"/>
      <c r="K11" s="30" t="inlineStr"/>
      <c r="L11" s="31" t="inlineStr"/>
    </row>
    <row r="12" ht="47" customHeight="1">
      <c r="A12" s="34" t="inlineStr">
        <is>
          <t>UAT-REV-03</t>
        </is>
      </c>
      <c r="B12" s="35" t="inlineStr">
        <is>
          <t>B. Analiz Arşivi (/reviews)</t>
        </is>
      </c>
      <c r="C12" s="36" t="inlineStr">
        <is>
          <t>Sonsuz kaydırma / "Daha fazla göster"</t>
        </is>
      </c>
      <c r="D12" s="36" t="inlineStr">
        <is>
          <t>Kurum A · 50'den fazla analiz.</t>
        </is>
      </c>
      <c r="E12" s="36" t="inlineStr">
        <is>
          <t>1. Listenin altına in → "Daha fazla göster"'e bas.</t>
        </is>
      </c>
      <c r="F12" s="36" t="inlineStr">
        <is>
          <t>• Sonraki sayfa ekleniyor; tüm kayıtlar bitince buton kayboluyor.
• Eşleşme yoksa: "Bu filtrelerle eşleşen analiz yok" + "Filtreleri
temizleyin ya da yeni bir dosya yükleyin."</t>
        </is>
      </c>
      <c r="G12" s="36" t="inlineStr"/>
      <c r="H12" s="30" t="inlineStr"/>
      <c r="I12" s="37" t="inlineStr">
        <is>
          <t>Orta</t>
        </is>
      </c>
      <c r="J12" s="35" t="inlineStr"/>
      <c r="K12" s="34" t="inlineStr"/>
      <c r="L12" s="35" t="inlineStr"/>
    </row>
    <row r="13" ht="73" customHeight="1">
      <c r="A13" s="30" t="inlineStr">
        <is>
          <t>UAT-REV-04</t>
        </is>
      </c>
      <c r="B13" s="31" t="inlineStr">
        <is>
          <t>B. Analiz Arşivi (/reviews)</t>
        </is>
      </c>
      <c r="C13" s="32" t="inlineStr">
        <is>
          <t>Analiz detayı</t>
        </is>
      </c>
      <c r="D13" s="32" t="inlineStr">
        <is>
          <t>Kurum A.</t>
        </is>
      </c>
      <c r="E13" s="32" t="inlineStr">
        <is>
          <t>1. Bir analiz satırına tıkla → detay sayfası.</t>
        </is>
      </c>
      <c r="F13" s="32" t="inlineStr">
        <is>
          <t>• "← Analizler" geri linki.
• Kartlar: tarih+metin; Duygu/Skor(final)/Skor(raw, BERT)/Güven;
Şirket Perspektifi; Kural Katmanları; Karar (örn. "Ticket
Açıldı" / "Atlandı (…)").
• Ticket'a bağlıysa "Ticket'a Git →" görünüyor.</t>
        </is>
      </c>
      <c r="G13" s="32" t="inlineStr"/>
      <c r="H13" s="30" t="inlineStr"/>
      <c r="I13" s="33" t="inlineStr">
        <is>
          <t>Orta</t>
        </is>
      </c>
      <c r="J13" s="31" t="inlineStr"/>
      <c r="K13" s="30" t="inlineStr"/>
      <c r="L13" s="31" t="inlineStr"/>
    </row>
    <row r="14" ht="34" customHeight="1">
      <c r="A14" s="34" t="inlineStr">
        <is>
          <t>UAT-REV-05</t>
        </is>
      </c>
      <c r="B14" s="35" t="inlineStr">
        <is>
          <t>B. Analiz Arşivi (/reviews)</t>
        </is>
      </c>
      <c r="C14" s="36" t="inlineStr">
        <is>
          <t>"Kararı Düzelt" (model eğitimi)</t>
        </is>
      </c>
      <c r="D14" s="36" t="inlineStr">
        <is>
          <t>Analist/Yönetici · Bir analiz detayı.</t>
        </is>
      </c>
      <c r="E14" s="36" t="inlineStr">
        <is>
          <t>1. "Kararı Düzelt" butonuna bas.
2. Duygu/Kategori'yi değiştir, opsiyonel gerekçe yaz → "Düzeltmeyi Kaydet".</t>
        </is>
      </c>
      <c r="F14" s="36" t="inlineStr">
        <is>
          <t>• Düzeltme anında yansıyor; analiz güncelleniyor.
• (İzleyici ile bu buton/işlem kısıtlı olmalı — modül 09'da doğrulanır.)</t>
        </is>
      </c>
      <c r="G14" s="36" t="inlineStr"/>
      <c r="H14" s="30" t="inlineStr"/>
      <c r="I14" s="37" t="inlineStr">
        <is>
          <t>Orta</t>
        </is>
      </c>
      <c r="J14" s="35" t="inlineStr"/>
      <c r="K14" s="34" t="inlineStr"/>
      <c r="L14" s="35" t="inlineStr"/>
    </row>
    <row r="15" ht="47" customHeight="1">
      <c r="A15" s="30" t="inlineStr">
        <is>
          <t>UAT-REV-06</t>
        </is>
      </c>
      <c r="B15" s="31" t="inlineStr">
        <is>
          <t>B. Analiz Arşivi (/reviews)</t>
        </is>
      </c>
      <c r="C15" s="32" t="inlineStr">
        <is>
          <t>Analizi Ticket'a dönüştürme</t>
        </is>
      </c>
      <c r="D15" s="32" t="inlineStr">
        <is>
          <t>Analist · Ticket'a bağlı olmayan, atlanmış bir analiz.</t>
        </is>
      </c>
      <c r="E15" s="32" t="inlineStr">
        <is>
          <t>1. Detayda "Bu Analizi Ticket'a Dönüştür"'e bas.</t>
        </is>
      </c>
      <c r="F15" s="32" t="inlineStr">
        <is>
          <t>• Bildirim "Manuel olarak Ticket açıldı."; detay yenileniyor, ticket bağlanıyor.
• Zaten bağlıysa: "Bu analiz zaten bir Ticket'a bağlı."; yetki yoksa:
"Bu işlem için yetkin yok."</t>
        </is>
      </c>
      <c r="G15" s="32" t="inlineStr"/>
      <c r="H15" s="30" t="inlineStr"/>
      <c r="I15" s="33" t="inlineStr">
        <is>
          <t>Kritik</t>
        </is>
      </c>
      <c r="J15" s="31" t="inlineStr"/>
      <c r="K15" s="30" t="inlineStr"/>
      <c r="L15" s="31" t="inlineStr"/>
    </row>
    <row r="16" ht="73" customHeight="1">
      <c r="A16" s="34" t="inlineStr">
        <is>
          <t>UAT-RPT-01</t>
        </is>
      </c>
      <c r="B16" s="35" t="inlineStr">
        <is>
          <t>C. Raporlar (/reports)</t>
        </is>
      </c>
      <c r="C16" s="36" t="inlineStr">
        <is>
          <t>Yeni rapor üretme (3 adımlı sihirbaz)</t>
        </is>
      </c>
      <c r="D16" s="36" t="inlineStr">
        <is>
          <t>Kurum A.</t>
        </is>
      </c>
      <c r="E16" s="36" t="inlineStr">
        <is>
          <t>1. "Yeni Rapor" butonuna bas.
2. Adım 1: Tip (Kapsamlı / Sadece Yorumlar / Sadece Ticket'lar) + Format
(Excel .xlsx / CSV .zip) seç → Devam.
3. Adım 2: Tarih aralığı seç (veya "Bu ay" / "Geçen ay" / "Bu çeyrek") → Önizleme.
4. Adım 3: Tahmini satır/süreyi gör → "Üret".</t>
        </is>
      </c>
      <c r="F16" s="36" t="inlineStr">
        <is>
          <t>• Adım 2'de 90 günü aşan aralıkta uyarı: "gün — 90 gün limitini aşıyor."
ve Önizleme pasif.
• "Üret" sonrası bildirim "Rapor sıraya alındı."; modal kapanıyor.
• Üst tarafta "üretiliyor" göstergesi, sonra listede "Tamamlandı" rozeti.</t>
        </is>
      </c>
      <c r="G16" s="36" t="inlineStr"/>
      <c r="H16" s="30" t="inlineStr"/>
      <c r="I16" s="37" t="inlineStr">
        <is>
          <t>Orta</t>
        </is>
      </c>
      <c r="J16" s="35" t="inlineStr"/>
      <c r="K16" s="34" t="inlineStr"/>
      <c r="L16" s="35" t="inlineStr"/>
    </row>
    <row r="17" ht="60" customHeight="1">
      <c r="A17" s="30" t="inlineStr">
        <is>
          <t>UAT-RPT-02</t>
        </is>
      </c>
      <c r="B17" s="31" t="inlineStr">
        <is>
          <t>C. Raporlar (/reports)</t>
        </is>
      </c>
      <c r="C17" s="32" t="inlineStr">
        <is>
          <t>Rapor indirme ve silme</t>
        </is>
      </c>
      <c r="D17" s="32" t="inlineStr">
        <is>
          <t>En az bir tamamlanmış rapor.</t>
        </is>
      </c>
      <c r="E17" s="32" t="inlineStr">
        <is>
          <t>1. Listede tamamlanmış raporda "İndir"'e bas.
2. Sonra çöp/sil ikonuyla raporu sil, onayla.</t>
        </is>
      </c>
      <c r="F17" s="32" t="inlineStr">
        <is>
          <t>• Dosya iniyor; tip ve formatla tutarlı.
• Silme onayı "Raporu silmek istediğinizden emin misiniz?"; onayınca
"Rapor silindi."
• Liste boşsa: "Henüz rapor yok. Üstteki Yeni Rapor butonu ile…"</t>
        </is>
      </c>
      <c r="G17" s="32" t="inlineStr"/>
      <c r="H17" s="30" t="inlineStr"/>
      <c r="I17" s="33" t="inlineStr">
        <is>
          <t>Kritik</t>
        </is>
      </c>
      <c r="J17" s="31" t="inlineStr"/>
      <c r="K17" s="30" t="inlineStr"/>
      <c r="L17" s="31" t="inlineStr"/>
    </row>
  </sheetData>
  <autoFilter ref="A2:L17"/>
  <mergeCells count="1">
    <mergeCell ref="A1:L1"/>
  </mergeCells>
  <conditionalFormatting sqref="H3:H17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17" showDropDown="0" showInputMessage="0" showErrorMessage="0" allowBlank="1" type="list">
      <formula1>"Geçti,Kaldı,Bloke,Uygulanamaz"</formula1>
    </dataValidation>
    <dataValidation sqref="I3:I17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04 · Ticket Operasyonu   (25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60" customHeight="1">
      <c r="A3" s="30" t="inlineStr">
        <is>
          <t>UAT-TKT-01</t>
        </is>
      </c>
      <c r="B3" s="31" t="inlineStr">
        <is>
          <t>A. Ticket Listesi (/tickets)</t>
        </is>
      </c>
      <c r="C3" s="32" t="inlineStr">
        <is>
          <t>Listeyi açma ve sayaç</t>
        </is>
      </c>
      <c r="D3" s="32" t="inlineStr">
        <is>
          <t>Analist · Kurum A'da en az 5 ticket var.</t>
        </is>
      </c>
      <c r="E3" s="32" t="inlineStr">
        <is>
          <t>1. Sol menüden Operasyon → Ticket'lar'a tıkla.
2. Sayfanın açılmasını bekle.</t>
        </is>
      </c>
      <c r="F3" s="32" t="inlineStr">
        <is>
          <t>• Sayfa başlığı "Ticket'lar".
• Başlık altında sayaç: "{gösterilen} Ticket gösteriliyor / toplam {toplam}".
• Ticket'lar satır satır listeleniyor; her satırda başlık, kategori,
öncelik, durum ve atanan görünüyor.</t>
        </is>
      </c>
      <c r="G3" s="32" t="inlineStr"/>
      <c r="H3" s="30" t="inlineStr"/>
      <c r="I3" s="33" t="inlineStr">
        <is>
          <t>Yüksek</t>
        </is>
      </c>
      <c r="J3" s="31" t="inlineStr"/>
      <c r="K3" s="30" t="inlineStr"/>
      <c r="L3" s="31" t="inlineStr"/>
    </row>
    <row r="4" ht="60" customHeight="1">
      <c r="A4" s="34" t="inlineStr">
        <is>
          <t>UAT-TKT-02</t>
        </is>
      </c>
      <c r="B4" s="35" t="inlineStr">
        <is>
          <t>A. Ticket Listesi (/tickets)</t>
        </is>
      </c>
      <c r="C4" s="36" t="inlineStr">
        <is>
          <t>Durum filtresi (çoklu seçim)</t>
        </is>
      </c>
      <c r="D4" s="36" t="inlineStr">
        <is>
          <t>Analist · Farklı durumlarda ticket'lar var.</t>
        </is>
      </c>
      <c r="E4" s="36" t="inlineStr">
        <is>
          <t>1. Durum filtresine tıkla; açılan listede Açık ve İlerlemekte'yi seç.
2. Listenin güncellenmesini izle.
3. Tarayıcının adres çubuğundaki (URL) değişimi gözlemle.</t>
        </is>
      </c>
      <c r="F4" s="36" t="inlineStr">
        <is>
          <t>• Liste yalnız Açık + İlerlemekte ticket'ları gösteriyor.
• Sayaç güncelleniyor.
• URL filtreyi içeriyor (örn. ?state=open,in_progress benzeri) — bu URL
başkasıyla paylaşılınca aynı filtreli görünüm açılmalı.</t>
        </is>
      </c>
      <c r="G4" s="36" t="inlineStr"/>
      <c r="H4" s="30" t="inlineStr"/>
      <c r="I4" s="37" t="inlineStr">
        <is>
          <t>Yüksek</t>
        </is>
      </c>
      <c r="J4" s="35" t="inlineStr"/>
      <c r="K4" s="34" t="inlineStr"/>
      <c r="L4" s="35" t="inlineStr"/>
    </row>
    <row r="5" ht="47" customHeight="1">
      <c r="A5" s="30" t="inlineStr">
        <is>
          <t>UAT-TKT-03</t>
        </is>
      </c>
      <c r="B5" s="31" t="inlineStr">
        <is>
          <t>A. Ticket Listesi (/tickets)</t>
        </is>
      </c>
      <c r="C5" s="32" t="inlineStr">
        <is>
          <t>Öncelik, Kategori ve Atanan filtreleri</t>
        </is>
      </c>
      <c r="D5" s="32" t="inlineStr">
        <is>
          <t>Analist.</t>
        </is>
      </c>
      <c r="E5" s="32" t="inlineStr">
        <is>
          <t>1. Öncelik filtresinden Acil + Yüksek seç.
2. Kategori filtresinden bir kategori seç.
3. Atanan filtresinden "Bana atananlar" seç.</t>
        </is>
      </c>
      <c r="F5" s="32" t="inlineStr">
        <is>
          <t>• Her filtre listeyi daraltıyor; sonuçlar seçili kriterlere uyuyor.
• "Atanan: Bana atananlar" yalnız sana atanmış ticket'ları gösteriyor.</t>
        </is>
      </c>
      <c r="G5" s="32" t="inlineStr"/>
      <c r="H5" s="30" t="inlineStr"/>
      <c r="I5" s="33" t="inlineStr">
        <is>
          <t>Yüksek</t>
        </is>
      </c>
      <c r="J5" s="31" t="inlineStr"/>
      <c r="K5" s="30" t="inlineStr"/>
      <c r="L5" s="31" t="inlineStr"/>
    </row>
    <row r="6" ht="47" customHeight="1">
      <c r="A6" s="34" t="inlineStr">
        <is>
          <t>UAT-TKT-04</t>
        </is>
      </c>
      <c r="B6" s="35" t="inlineStr">
        <is>
          <t>A. Ticket Listesi (/tickets)</t>
        </is>
      </c>
      <c r="C6" s="36" t="inlineStr">
        <is>
          <t>Filtreleri temizleme</t>
        </is>
      </c>
      <c r="D6" s="36" t="inlineStr">
        <is>
          <t>Analist · En az bir filtre aktif (önceki senaryodan).</t>
        </is>
      </c>
      <c r="E6" s="36" t="inlineStr">
        <is>
          <t>1. "Filtreleri temizle" butonuna tıkla.</t>
        </is>
      </c>
      <c r="F6" s="36" t="inlineStr">
        <is>
          <t>• Tüm filtreler sıfırlanıyor, liste tüm ticket'ları gösteriyor.
• URL'den filtre parametreleri kalkıyor.
• "Filtreleri temizle" butonu (artık aktif filtre yok) gizleniyor.</t>
        </is>
      </c>
      <c r="G6" s="36" t="inlineStr"/>
      <c r="H6" s="30" t="inlineStr"/>
      <c r="I6" s="37" t="inlineStr">
        <is>
          <t>Yüksek</t>
        </is>
      </c>
      <c r="J6" s="35" t="inlineStr"/>
      <c r="K6" s="34" t="inlineStr"/>
      <c r="L6" s="35" t="inlineStr"/>
    </row>
    <row r="7" ht="60" customHeight="1">
      <c r="A7" s="30" t="inlineStr">
        <is>
          <t>UAT-TKT-05</t>
        </is>
      </c>
      <c r="B7" s="31" t="inlineStr">
        <is>
          <t>A. Ticket Listesi (/tickets)</t>
        </is>
      </c>
      <c r="C7" s="32" t="inlineStr">
        <is>
          <t>"Daha fazla göster" (sayfalama)</t>
        </is>
      </c>
      <c r="D7" s="32" t="inlineStr">
        <is>
          <t>Analist · Kurum A'da 100'den fazla ticket olmalı (yoksa bu senaryoyu "uygulanamaz" işaretle).</t>
        </is>
      </c>
      <c r="E7" s="32" t="inlineStr">
        <is>
          <t>1. Listenin en altına in.
2. "Daha fazla göster ({kalan} kaldı)" butonuna tıkla.</t>
        </is>
      </c>
      <c r="F7" s="32" t="inlineStr">
        <is>
          <t>• Sonraki ticket grubu listenin altına ekleniyor (mevcutlar kaybolmadan).
• Tüm ticket'lar yüklendiğinde buton kayboluyor.</t>
        </is>
      </c>
      <c r="G7" s="32" t="inlineStr"/>
      <c r="H7" s="30" t="inlineStr"/>
      <c r="I7" s="33" t="inlineStr">
        <is>
          <t>Yüksek</t>
        </is>
      </c>
      <c r="J7" s="31" t="inlineStr"/>
      <c r="K7" s="30" t="inlineStr"/>
      <c r="L7" s="31" t="inlineStr"/>
    </row>
    <row r="8" ht="34" customHeight="1">
      <c r="A8" s="34" t="inlineStr">
        <is>
          <t>UAT-TKT-06</t>
        </is>
      </c>
      <c r="B8" s="35" t="inlineStr">
        <is>
          <t>A. Ticket Listesi (/tickets)</t>
        </is>
      </c>
      <c r="C8" s="36" t="inlineStr">
        <is>
          <t>Filtreyle eşleşen yokken boş durum</t>
        </is>
      </c>
      <c r="D8" s="36" t="inlineStr">
        <is>
          <t>Analist.</t>
        </is>
      </c>
      <c r="E8" s="36" t="inlineStr">
        <is>
          <t>1. Hiç ticket'ın olmayacağı bir filtre kombinasyonu seç (örn. Durum: İptal +
Kategori: çok nadir bir kategori).</t>
        </is>
      </c>
      <c r="F8" s="36" t="inlineStr">
        <is>
          <t>• Liste boş; "Bu filtrelerle eşleşen ticket yok." benzeri mesaj görünüyor.
• Uygulama çökmüyor, hata vermiyor.</t>
        </is>
      </c>
      <c r="G8" s="36" t="inlineStr"/>
      <c r="H8" s="30" t="inlineStr"/>
      <c r="I8" s="37" t="inlineStr">
        <is>
          <t>Yüksek</t>
        </is>
      </c>
      <c r="J8" s="35" t="inlineStr"/>
      <c r="K8" s="34" t="inlineStr"/>
      <c r="L8" s="35" t="inlineStr"/>
    </row>
    <row r="9" ht="47" customHeight="1">
      <c r="A9" s="30" t="inlineStr">
        <is>
          <t>UAT-TKT-07</t>
        </is>
      </c>
      <c r="B9" s="31" t="inlineStr">
        <is>
          <t>A. Ticket Listesi (/tickets)</t>
        </is>
      </c>
      <c r="C9" s="32" t="inlineStr">
        <is>
          <t>URL paylaşılabilirliği</t>
        </is>
      </c>
      <c r="D9" s="32" t="inlineStr">
        <is>
          <t>Analist.</t>
        </is>
      </c>
      <c r="E9" s="32" t="inlineStr">
        <is>
          <t>1. Birkaç filtre uygula.
2. Adres çubuğundaki URL'yi kopyala.
3. Yeni bir sekmede (aynı oturum) yapıştır ve aç.</t>
        </is>
      </c>
      <c r="F9" s="32" t="inlineStr">
        <is>
          <t>• Yeni sekme aynı filtreli görünümle açılıyor.</t>
        </is>
      </c>
      <c r="G9" s="32" t="inlineStr"/>
      <c r="H9" s="30" t="inlineStr"/>
      <c r="I9" s="33" t="inlineStr">
        <is>
          <t>Yüksek</t>
        </is>
      </c>
      <c r="J9" s="31" t="inlineStr"/>
      <c r="K9" s="30" t="inlineStr"/>
      <c r="L9" s="31" t="inlineStr"/>
    </row>
    <row r="10" ht="73" customHeight="1">
      <c r="A10" s="34" t="inlineStr">
        <is>
          <t>UAT-TKT-08</t>
        </is>
      </c>
      <c r="B10" s="35" t="inlineStr">
        <is>
          <t>B. Ticket Detayı ve Durum Makinesi (/tickets/{id})</t>
        </is>
      </c>
      <c r="C10" s="36" t="inlineStr">
        <is>
          <t>Detay sayfasını açma</t>
        </is>
      </c>
      <c r="D10" s="36" t="inlineStr">
        <is>
          <t>Analist · En az 1 ticket var.</t>
        </is>
      </c>
      <c r="E10" s="36" t="inlineStr">
        <is>
          <t>1. Listeden bir ticket satırına tıkla.</t>
        </is>
      </c>
      <c r="F10" s="36" t="inlineStr">
        <is>
          <t>• URL /tickets/{id} oluyor.
• Üstte "← Ticket listesi" geri bağlantısı.
• Ticket başlığı (h1), varsa altında özet (italik).
• Aksiyon çubuğu (duruma göre butonlar), Geçmiş (timeline), Yorumlar bölümü
ve sağ panel (durum/öncelik/atanan/zaman damgaları) görünüyor.</t>
        </is>
      </c>
      <c r="G10" s="36" t="inlineStr"/>
      <c r="H10" s="30" t="inlineStr"/>
      <c r="I10" s="37" t="inlineStr">
        <is>
          <t>Yüksek</t>
        </is>
      </c>
      <c r="J10" s="35" t="inlineStr"/>
      <c r="K10" s="34" t="inlineStr"/>
      <c r="L10" s="35" t="inlineStr"/>
    </row>
    <row r="11" ht="60" customHeight="1">
      <c r="A11" s="30" t="inlineStr">
        <is>
          <t>UAT-TKT-09</t>
        </is>
      </c>
      <c r="B11" s="31" t="inlineStr">
        <is>
          <t>B. Ticket Detayı ve Durum Makinesi (/tickets/{id})</t>
        </is>
      </c>
      <c r="C11" s="32" t="inlineStr">
        <is>
          <t>Açık ticket'ı üstlenme (Açık → İlerlemekte)</t>
        </is>
      </c>
      <c r="D11" s="32" t="inlineStr">
        <is>
          <t>Analist · Durumu Açık olan, sana atanmamış bir ticket.</t>
        </is>
      </c>
      <c r="E11" s="32" t="inlineStr">
        <is>
          <t>1. Aksiyon çubuğunda "Üstlen" butonuna tıkla.</t>
        </is>
      </c>
      <c r="F11" s="32" t="inlineStr">
        <is>
          <t>• Durum İlerlemekte oluyor, ticket sana atanıyor.
• Geçmiş'e (timeline) durum geçişi olayı ekleniyor.
• Aksiyon butonları yeni duruma göre değişiyor (Müşteri bekleniyor · Çöz ·
Bırak görünür).</t>
        </is>
      </c>
      <c r="G11" s="32" t="inlineStr"/>
      <c r="H11" s="30" t="inlineStr"/>
      <c r="I11" s="33" t="inlineStr">
        <is>
          <t>Yüksek</t>
        </is>
      </c>
      <c r="J11" s="31" t="inlineStr"/>
      <c r="K11" s="30" t="inlineStr"/>
      <c r="L11" s="31" t="inlineStr"/>
    </row>
    <row r="12" ht="47" customHeight="1">
      <c r="A12" s="34" t="inlineStr">
        <is>
          <t>UAT-TKT-10</t>
        </is>
      </c>
      <c r="B12" s="35" t="inlineStr">
        <is>
          <t>B. Ticket Detayı ve Durum Makinesi (/tickets/{id})</t>
        </is>
      </c>
      <c r="C12" s="36" t="inlineStr">
        <is>
          <t>Çözme ve kapatma (İlerlemekte → Çözüldü → Kapatıldı)</t>
        </is>
      </c>
      <c r="D12" s="36" t="inlineStr">
        <is>
          <t>Analist · Sana atanmış, İlerlemekte durumda bir ticket.</t>
        </is>
      </c>
      <c r="E12" s="36" t="inlineStr">
        <is>
          <t>1. "Çöz" butonuna tıkla.
2. Durum Çözüldü olunca "Kapat" butonuna tıkla.</t>
        </is>
      </c>
      <c r="F12" s="36" t="inlineStr">
        <is>
          <t>• Adım 1 sonrası durum Çözüldü.
• Adım 2 sonrası durum Kapatıldı.
• Her geçiş timeline'a işleniyor.</t>
        </is>
      </c>
      <c r="G12" s="36" t="inlineStr"/>
      <c r="H12" s="30" t="inlineStr"/>
      <c r="I12" s="37" t="inlineStr">
        <is>
          <t>Yüksek</t>
        </is>
      </c>
      <c r="J12" s="35" t="inlineStr"/>
      <c r="K12" s="34" t="inlineStr"/>
      <c r="L12" s="35" t="inlineStr"/>
    </row>
    <row r="13" ht="34" customHeight="1">
      <c r="A13" s="30" t="inlineStr">
        <is>
          <t>UAT-TKT-11</t>
        </is>
      </c>
      <c r="B13" s="31" t="inlineStr">
        <is>
          <t>B. Ticket Detayı ve Durum Makinesi (/tickets/{id})</t>
        </is>
      </c>
      <c r="C13" s="32" t="inlineStr">
        <is>
          <t>Müşteri bekleme döngüsü</t>
        </is>
      </c>
      <c r="D13" s="32" t="inlineStr">
        <is>
          <t>Analist · Sana atanmış, İlerlemekte bir ticket.</t>
        </is>
      </c>
      <c r="E13" s="32" t="inlineStr">
        <is>
          <t>1. "Müşteri bekleniyor" butonuna tıkla.
2. Durum Müşteri Bekleniyor olunca "Devam et"'e tıkla.</t>
        </is>
      </c>
      <c r="F13" s="32" t="inlineStr">
        <is>
          <t>• Adım 1 → durum Müşteri Bekleniyor.
• Adım 2 → durum tekrar İlerlemekte.</t>
        </is>
      </c>
      <c r="G13" s="32" t="inlineStr"/>
      <c r="H13" s="30" t="inlineStr"/>
      <c r="I13" s="33" t="inlineStr">
        <is>
          <t>Yüksek</t>
        </is>
      </c>
      <c r="J13" s="31" t="inlineStr"/>
      <c r="K13" s="30" t="inlineStr"/>
      <c r="L13" s="31" t="inlineStr"/>
    </row>
    <row r="14" ht="34" customHeight="1">
      <c r="A14" s="34" t="inlineStr">
        <is>
          <t>UAT-TKT-12</t>
        </is>
      </c>
      <c r="B14" s="35" t="inlineStr">
        <is>
          <t>B. Ticket Detayı ve Durum Makinesi (/tickets/{id})</t>
        </is>
      </c>
      <c r="C14" s="36" t="inlineStr">
        <is>
          <t>Yanlış üstlenmeyi bırakma (kendi ticket'ın)</t>
        </is>
      </c>
      <c r="D14" s="36" t="inlineStr">
        <is>
          <t>Analist · Senin üstlendiğin, İlerlemekte bir ticket.</t>
        </is>
      </c>
      <c r="E14" s="36" t="inlineStr">
        <is>
          <t>1. "Bırak" butonuna tıkla.</t>
        </is>
      </c>
      <c r="F14" s="36" t="inlineStr">
        <is>
          <t>• Durum tekrar Açık, atama temizleniyor.
• Başka analist artık üstlenebilir.</t>
        </is>
      </c>
      <c r="G14" s="36" t="inlineStr"/>
      <c r="H14" s="30" t="inlineStr"/>
      <c r="I14" s="37" t="inlineStr">
        <is>
          <t>Yüksek</t>
        </is>
      </c>
      <c r="J14" s="35" t="inlineStr"/>
      <c r="K14" s="34" t="inlineStr"/>
      <c r="L14" s="35" t="inlineStr"/>
    </row>
    <row r="15" ht="34" customHeight="1">
      <c r="A15" s="30" t="inlineStr">
        <is>
          <t>UAT-TKT-13</t>
        </is>
      </c>
      <c r="B15" s="31" t="inlineStr">
        <is>
          <t>B. Ticket Detayı ve Durum Makinesi (/tickets/{id})</t>
        </is>
      </c>
      <c r="C15" s="32" t="inlineStr">
        <is>
          <t>Başkasının ticket'ında "Bırak" görünmemeli</t>
        </is>
      </c>
      <c r="D15" s="32" t="inlineStr">
        <is>
          <t>Analist · Başka bir analiste atanmış, İlerlemekte ticket.</t>
        </is>
      </c>
      <c r="E15" s="32" t="inlineStr">
        <is>
          <t>1. Bu ticket'ın detayını aç.</t>
        </is>
      </c>
      <c r="F15" s="32" t="inlineStr">
        <is>
          <t>• "Bırak" butonu görünmüyor (yalnız sahibi veya yönetici bırakabilir).</t>
        </is>
      </c>
      <c r="G15" s="32" t="inlineStr"/>
      <c r="H15" s="30" t="inlineStr"/>
      <c r="I15" s="33" t="inlineStr">
        <is>
          <t>Yüksek</t>
        </is>
      </c>
      <c r="J15" s="31" t="inlineStr"/>
      <c r="K15" s="30" t="inlineStr"/>
      <c r="L15" s="31" t="inlineStr"/>
    </row>
    <row r="16" ht="47" customHeight="1">
      <c r="A16" s="34" t="inlineStr">
        <is>
          <t>UAT-TKT-14</t>
        </is>
      </c>
      <c r="B16" s="35" t="inlineStr">
        <is>
          <t>B. Ticket Detayı ve Durum Makinesi (/tickets/{id})</t>
        </is>
      </c>
      <c r="C16" s="36" t="inlineStr">
        <is>
          <t>Ticket iptali (sebep zorunlu)</t>
        </is>
      </c>
      <c r="D16" s="36" t="inlineStr">
        <is>
          <t>Analist · Açık durumda bir ticket.</t>
        </is>
      </c>
      <c r="E16" s="36" t="inlineStr">
        <is>
          <t>1. "İptal" butonuna tıkla → iptal sebebi penceresi açılır.
2. Sebep seçmeden "İptal" onay butonuna basmayı dene.
3. Bir sebep seç (Yanlış pozitif / Mükerrer / Spam / Konu dışı / Diğer) ve onayla.</t>
        </is>
      </c>
      <c r="F16" s="36" t="inlineStr">
        <is>
          <t>• Sebep seçilmeden onay gönderilemiyor (buton pasif veya uyarı).
• Sebep seçilince ticket İptal durumuna geçiyor.
• Sağ panelde iptal sebebi görünüyor.</t>
        </is>
      </c>
      <c r="G16" s="36" t="inlineStr"/>
      <c r="H16" s="30" t="inlineStr"/>
      <c r="I16" s="37" t="inlineStr">
        <is>
          <t>Yüksek</t>
        </is>
      </c>
      <c r="J16" s="35" t="inlineStr"/>
      <c r="K16" s="34" t="inlineStr"/>
      <c r="L16" s="35" t="inlineStr"/>
    </row>
    <row r="17" ht="34" customHeight="1">
      <c r="A17" s="30" t="inlineStr">
        <is>
          <t>UAT-TKT-15</t>
        </is>
      </c>
      <c r="B17" s="31" t="inlineStr">
        <is>
          <t>B. Ticket Detayı ve Durum Makinesi (/tickets/{id})</t>
        </is>
      </c>
      <c r="C17" s="32" t="inlineStr">
        <is>
          <t>"İlerlemekte → İptal" yalnız yönetici</t>
        </is>
      </c>
      <c r="D17" s="32" t="inlineStr">
        <is>
          <t>Analist, sonra Yönetici · İlerlemekte durumda bir ticket.</t>
        </is>
      </c>
      <c r="E17" s="32" t="inlineStr">
        <is>
          <t>1. Analist ile detayı aç → İptal butonunun durumuna bak.
2. Yönetici ile aynı ticket'ı aç → İptal butonuna bak.</t>
        </is>
      </c>
      <c r="F17" s="32" t="inlineStr">
        <is>
          <t>• Analiste İlerlemekte durumda "İptal" görünmüyor.
• Yöneticiye görünüyor ve çalışıyor.</t>
        </is>
      </c>
      <c r="G17" s="32" t="inlineStr"/>
      <c r="H17" s="30" t="inlineStr"/>
      <c r="I17" s="33" t="inlineStr">
        <is>
          <t>Yüksek</t>
        </is>
      </c>
      <c r="J17" s="31" t="inlineStr"/>
      <c r="K17" s="30" t="inlineStr"/>
      <c r="L17" s="31" t="inlineStr"/>
    </row>
    <row r="18" ht="47" customHeight="1">
      <c r="A18" s="34" t="inlineStr">
        <is>
          <t>UAT-TKT-16</t>
        </is>
      </c>
      <c r="B18" s="35" t="inlineStr">
        <is>
          <t>B. Ticket Detayı ve Durum Makinesi (/tickets/{id})</t>
        </is>
      </c>
      <c r="C18" s="36" t="inlineStr">
        <is>
          <t>Yeniden açma (yalnız yönetici)</t>
        </is>
      </c>
      <c r="D18" s="36" t="inlineStr">
        <is>
          <t>Yönetici · Kapatıldı durumda bir ticket.</t>
        </is>
      </c>
      <c r="E18" s="36" t="inlineStr">
        <is>
          <t>1. "Yeniden aç" butonuna tıkla.</t>
        </is>
      </c>
      <c r="F18" s="36" t="inlineStr">
        <is>
          <t>• Ticket tekrar aktif duruma dönüyor.
• (Yeniden açma penceresi — varsayılan 30 gün — dolduysa hata/uyarı görünür;
bunu da not et.)</t>
        </is>
      </c>
      <c r="G18" s="36" t="inlineStr"/>
      <c r="H18" s="30" t="inlineStr"/>
      <c r="I18" s="37" t="inlineStr">
        <is>
          <t>Yüksek</t>
        </is>
      </c>
      <c r="J18" s="35" t="inlineStr"/>
      <c r="K18" s="34" t="inlineStr"/>
      <c r="L18" s="35" t="inlineStr"/>
    </row>
    <row r="19" ht="34" customHeight="1">
      <c r="A19" s="30" t="inlineStr">
        <is>
          <t>UAT-TKT-17</t>
        </is>
      </c>
      <c r="B19" s="31" t="inlineStr">
        <is>
          <t>B. Ticket Detayı ve Durum Makinesi (/tickets/{id})</t>
        </is>
      </c>
      <c r="C19" s="32" t="inlineStr">
        <is>
          <t>İptali geri alma (yalnız yönetici)</t>
        </is>
      </c>
      <c r="D19" s="32" t="inlineStr">
        <is>
          <t>Yönetici · İptal durumda bir ticket.</t>
        </is>
      </c>
      <c r="E19" s="32" t="inlineStr">
        <is>
          <t>1. "Geri al" butonuna tıkla.</t>
        </is>
      </c>
      <c r="F19" s="32" t="inlineStr">
        <is>
          <t>• Ticket tekrar Açık durumuna dönüyor.</t>
        </is>
      </c>
      <c r="G19" s="32" t="inlineStr"/>
      <c r="H19" s="30" t="inlineStr"/>
      <c r="I19" s="33" t="inlineStr">
        <is>
          <t>Yüksek</t>
        </is>
      </c>
      <c r="J19" s="31" t="inlineStr"/>
      <c r="K19" s="30" t="inlineStr"/>
      <c r="L19" s="31" t="inlineStr"/>
    </row>
    <row r="20" ht="34" customHeight="1">
      <c r="A20" s="34" t="inlineStr">
        <is>
          <t>UAT-TKT-18</t>
        </is>
      </c>
      <c r="B20" s="35" t="inlineStr">
        <is>
          <t>B. Ticket Detayı ve Durum Makinesi (/tickets/{id})</t>
        </is>
      </c>
      <c r="C20" s="36" t="inlineStr">
        <is>
          <t>İzleyici durum değiştiremez</t>
        </is>
      </c>
      <c r="D20" s="36" t="inlineStr">
        <is>
          <t>İzleyici · Herhangi bir durumda ticket.</t>
        </is>
      </c>
      <c r="E20" s="36" t="inlineStr">
        <is>
          <t>1. İzleyici ile birkaç farklı durumdaki ticket'ı aç.</t>
        </is>
      </c>
      <c r="F20" s="36" t="inlineStr">
        <is>
          <t>• Hiçbir durum-değiştirme butonu görünmüyor (Üstlen/Çöz/Kapat vb. yok).
• İzleyici ticket'ı yalnız okuyabiliyor.</t>
        </is>
      </c>
      <c r="G20" s="36" t="inlineStr"/>
      <c r="H20" s="30" t="inlineStr"/>
      <c r="I20" s="37" t="inlineStr">
        <is>
          <t>Yüksek</t>
        </is>
      </c>
      <c r="J20" s="35" t="inlineStr"/>
      <c r="K20" s="34" t="inlineStr"/>
      <c r="L20" s="35" t="inlineStr"/>
    </row>
    <row r="21" ht="47" customHeight="1">
      <c r="A21" s="30" t="inlineStr">
        <is>
          <t>UAT-TKT-19</t>
        </is>
      </c>
      <c r="B21" s="31" t="inlineStr">
        <is>
          <t>C. Atama (sağ panel)</t>
        </is>
      </c>
      <c r="C21" s="32" t="inlineStr">
        <is>
          <t>Yönetici herkesi atayabilir</t>
        </is>
      </c>
      <c r="D21" s="32" t="inlineStr">
        <is>
          <t>Yönetici · Bir ticket detayı.</t>
        </is>
      </c>
      <c r="E21" s="32" t="inlineStr">
        <is>
          <t>1. Sağ panelde Atanan alanını aç.
2. Bir kullanıcı seç (kendin dışında biri).
3. Sonra "Atanmamış" seçeneğiyle atamayı temizle.</t>
        </is>
      </c>
      <c r="F21" s="32" t="inlineStr">
        <is>
          <t>• Seçilen kullanıcı atanıyor; panel ve timeline güncelleniyor.
• "Atanmamış" seçimi atamayı temizliyor.</t>
        </is>
      </c>
      <c r="G21" s="32" t="inlineStr"/>
      <c r="H21" s="30" t="inlineStr"/>
      <c r="I21" s="33" t="inlineStr">
        <is>
          <t>Yüksek</t>
        </is>
      </c>
      <c r="J21" s="31" t="inlineStr"/>
      <c r="K21" s="30" t="inlineStr"/>
      <c r="L21" s="31" t="inlineStr"/>
    </row>
    <row r="22" ht="34" customHeight="1">
      <c r="A22" s="34" t="inlineStr">
        <is>
          <t>UAT-TKT-20</t>
        </is>
      </c>
      <c r="B22" s="35" t="inlineStr">
        <is>
          <t>C. Atama (sağ panel)</t>
        </is>
      </c>
      <c r="C22" s="36" t="inlineStr">
        <is>
          <t>Analist yalnız kendini atayabilir</t>
        </is>
      </c>
      <c r="D22" s="36" t="inlineStr">
        <is>
          <t>Analist · Bir ticket detayı.</t>
        </is>
      </c>
      <c r="E22" s="36" t="inlineStr">
        <is>
          <t>1. Sağ panelde Atanan alanını incele.</t>
        </is>
      </c>
      <c r="F22" s="36" t="inlineStr">
        <is>
          <t>• Analist yalnız kendini atayabiliyor/bırakabiliyor; başkasını atayamıyor.</t>
        </is>
      </c>
      <c r="G22" s="36" t="inlineStr"/>
      <c r="H22" s="30" t="inlineStr"/>
      <c r="I22" s="37" t="inlineStr">
        <is>
          <t>Yüksek</t>
        </is>
      </c>
      <c r="J22" s="35" t="inlineStr"/>
      <c r="K22" s="34" t="inlineStr"/>
      <c r="L22" s="35" t="inlineStr"/>
    </row>
    <row r="23" ht="34" customHeight="1">
      <c r="A23" s="30" t="inlineStr">
        <is>
          <t>UAT-TKT-21</t>
        </is>
      </c>
      <c r="B23" s="31" t="inlineStr">
        <is>
          <t>D. Yorumlar</t>
        </is>
      </c>
      <c r="C23" s="32" t="inlineStr">
        <is>
          <t>İç not yazma</t>
        </is>
      </c>
      <c r="D23" s="32" t="inlineStr">
        <is>
          <t>Analist · Bir ticket detayı.</t>
        </is>
      </c>
      <c r="E23" s="32" t="inlineStr">
        <is>
          <t>1. Yorumlar bölümünde metin alanına bir not yaz (örn. "Müşteriyi aradım").
2. Tip "İç not" (varsayılan) iken "Gönder"'e bas.</t>
        </is>
      </c>
      <c r="F23" s="32" t="inlineStr">
        <is>
          <t>• Yorum listede görünüyor: avatar + adın + "İç not" rozeti + zaman + metin.
• "Gönder" butonu boş metinle pasif.</t>
        </is>
      </c>
      <c r="G23" s="32" t="inlineStr"/>
      <c r="H23" s="30" t="inlineStr"/>
      <c r="I23" s="33" t="inlineStr">
        <is>
          <t>Yüksek</t>
        </is>
      </c>
      <c r="J23" s="31" t="inlineStr"/>
      <c r="K23" s="30" t="inlineStr"/>
      <c r="L23" s="31" t="inlineStr"/>
    </row>
    <row r="24" ht="34" customHeight="1">
      <c r="A24" s="34" t="inlineStr">
        <is>
          <t>UAT-TKT-22</t>
        </is>
      </c>
      <c r="B24" s="35" t="inlineStr">
        <is>
          <t>D. Yorumlar</t>
        </is>
      </c>
      <c r="C24" s="36" t="inlineStr">
        <is>
          <t>Müşteri yanıtı yazma (analist/yönetici)</t>
        </is>
      </c>
      <c r="D24" s="36" t="inlineStr">
        <is>
          <t>Analist · Açık/İlerlemekte/Çözüldü durumda bir ticket.</t>
        </is>
      </c>
      <c r="E24" s="36" t="inlineStr">
        <is>
          <t>1. Yorum tipini "Müşteri yanıtı" olarak seç.
2. Metin yaz ve "Gönder"'e bas.</t>
        </is>
      </c>
      <c r="F24" s="36" t="inlineStr">
        <is>
          <t>• Yorum "Müşteri yanıtı" rozetiyle (vurgulu) listede görünüyor.</t>
        </is>
      </c>
      <c r="G24" s="36" t="inlineStr"/>
      <c r="H24" s="30" t="inlineStr"/>
      <c r="I24" s="37" t="inlineStr">
        <is>
          <t>Yüksek</t>
        </is>
      </c>
      <c r="J24" s="35" t="inlineStr"/>
      <c r="K24" s="34" t="inlineStr"/>
      <c r="L24" s="35" t="inlineStr"/>
    </row>
    <row r="25" ht="34" customHeight="1">
      <c r="A25" s="30" t="inlineStr">
        <is>
          <t>UAT-TKT-23</t>
        </is>
      </c>
      <c r="B25" s="31" t="inlineStr">
        <is>
          <t>D. Yorumlar</t>
        </is>
      </c>
      <c r="C25" s="32" t="inlineStr">
        <is>
          <t>İzleyici müşteri yanıtı yazamaz</t>
        </is>
      </c>
      <c r="D25" s="32" t="inlineStr">
        <is>
          <t>İzleyici · Bir ticket detayı.</t>
        </is>
      </c>
      <c r="E25" s="32" t="inlineStr">
        <is>
          <t>1. Yorum formunu incele.</t>
        </is>
      </c>
      <c r="F25" s="32" t="inlineStr">
        <is>
          <t>• "Müşteri yanıtı" seçeneği yok / pasif. İzleyici yalnız "İç not" yazabiliyor.</t>
        </is>
      </c>
      <c r="G25" s="32" t="inlineStr"/>
      <c r="H25" s="30" t="inlineStr"/>
      <c r="I25" s="33" t="inlineStr">
        <is>
          <t>Yüksek</t>
        </is>
      </c>
      <c r="J25" s="31" t="inlineStr"/>
      <c r="K25" s="30" t="inlineStr"/>
      <c r="L25" s="31" t="inlineStr"/>
    </row>
    <row r="26" ht="47" customHeight="1">
      <c r="A26" s="34" t="inlineStr">
        <is>
          <t>UAT-TKT-24</t>
        </is>
      </c>
      <c r="B26" s="35" t="inlineStr">
        <is>
          <t>D. Yorumlar</t>
        </is>
      </c>
      <c r="C26" s="36" t="inlineStr">
        <is>
          <t>Kapalı ticket'a müşteri yanıtı engeli</t>
        </is>
      </c>
      <c r="D26" s="36" t="inlineStr">
        <is>
          <t>Analist · Kapatıldı veya İptal durumda bir ticket.</t>
        </is>
      </c>
      <c r="E26" s="36" t="inlineStr">
        <is>
          <t>1. Yorum formunda "Müşteri yanıtı" seçeneğini dene.</t>
        </is>
      </c>
      <c r="F26" s="36" t="inlineStr">
        <is>
          <t>• "Müşteri yanıtı" pasif; üzerine gelince açıklama görünüyor
(örn. "Kapalı ticket'a yanıt yazılamaz").
• İç not yine yazılabiliyor (post-mortem için).</t>
        </is>
      </c>
      <c r="G26" s="36" t="inlineStr"/>
      <c r="H26" s="30" t="inlineStr"/>
      <c r="I26" s="37" t="inlineStr">
        <is>
          <t>Yüksek</t>
        </is>
      </c>
      <c r="J26" s="35" t="inlineStr"/>
      <c r="K26" s="34" t="inlineStr"/>
      <c r="L26" s="35" t="inlineStr"/>
    </row>
    <row r="27" ht="60" customHeight="1">
      <c r="A27" s="30" t="inlineStr">
        <is>
          <t>UAT-TKT-25</t>
        </is>
      </c>
      <c r="B27" s="31" t="inlineStr">
        <is>
          <t>D. Yorumlar</t>
        </is>
      </c>
      <c r="C27" s="32" t="inlineStr">
        <is>
          <t>Yorum arşivleme</t>
        </is>
      </c>
      <c r="D27" s="32" t="inlineStr">
        <is>
          <t>Analist · Kendi yazdığın bir yorum.</t>
        </is>
      </c>
      <c r="E27" s="32" t="inlineStr">
        <is>
          <t>1. Kendi yorumunun yanındaki "Arşivle" butonuna tıkla.
2. Açılan onay penceresini onayla.</t>
        </is>
      </c>
      <c r="F27" s="32" t="inlineStr">
        <is>
          <t>• Yorum silinmiyor; üzeri çizili + soluk görünüyor, "Arşivlenmiş"
rozeti alıyor. Timeline'daki yeri korunuyor.
• Başkasının yorumunda "Arşivle" butonu (analist için) görünmüyor;
yönetici her yorumu arşivleyebiliyor.</t>
        </is>
      </c>
      <c r="G27" s="32" t="inlineStr"/>
      <c r="H27" s="30" t="inlineStr"/>
      <c r="I27" s="33" t="inlineStr">
        <is>
          <t>Yüksek</t>
        </is>
      </c>
      <c r="J27" s="31" t="inlineStr"/>
      <c r="K27" s="30" t="inlineStr"/>
      <c r="L27" s="31" t="inlineStr"/>
    </row>
  </sheetData>
  <autoFilter ref="A2:L27"/>
  <mergeCells count="1">
    <mergeCell ref="A1:L1"/>
  </mergeCells>
  <conditionalFormatting sqref="H3:H27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27" showDropDown="0" showInputMessage="0" showErrorMessage="0" allowBlank="1" type="list">
      <formula1>"Geçti,Kaldı,Bloke,Uygulanamaz"</formula1>
    </dataValidation>
    <dataValidation sqref="I3:I27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05 · Veri Yükleme   (24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60" customHeight="1">
      <c r="A3" s="30" t="inlineStr">
        <is>
          <t>UAT-ANL-01</t>
        </is>
      </c>
      <c r="B3" s="31" t="inlineStr">
        <is>
          <t>A. Manuel Analiz (/analyze)</t>
        </is>
      </c>
      <c r="C3" s="32" t="inlineStr">
        <is>
          <t>Sayfa görünümü</t>
        </is>
      </c>
      <c r="D3" s="32" t="inlineStr">
        <is>
          <t>Analist.</t>
        </is>
      </c>
      <c r="E3" s="32" t="inlineStr">
        <is>
          <t>1. Sol menü → Operasyon → Manuel Analiz.</t>
        </is>
      </c>
      <c r="F3" s="32" t="inlineStr">
        <is>
          <t>• Başlık "Yorum Analiz Et".
• Açıklama: "Müşteri yorumunu yapıştırın. Duygu ve kategori analizi
yapılır; kurum otomasyon ayarına göre gerekirse Ticket otomatik açılır."
• "Yorum metni" alanı, NPS (opsiyonel, 0–10) alanı ve "Analiz Et" butonu var.</t>
        </is>
      </c>
      <c r="G3" s="32" t="inlineStr">
        <is>
          <t>Tüm öğeler birebir mevcut; sayaç '0 / 10.000 karakter'; boş metinde buton pasif.</t>
        </is>
      </c>
      <c r="H3" s="30" t="inlineStr">
        <is>
          <t>Geçti</t>
        </is>
      </c>
      <c r="I3" s="33" t="inlineStr">
        <is>
          <t>Yüksek</t>
        </is>
      </c>
      <c r="J3" s="31" t="inlineStr">
        <is>
          <t>Claude (otomasyon)</t>
        </is>
      </c>
      <c r="K3" s="30" t="inlineStr">
        <is>
          <t>08.07.2026</t>
        </is>
      </c>
      <c r="L3" s="31" t="inlineStr">
        <is>
          <t>—</t>
        </is>
      </c>
    </row>
    <row r="4" ht="86" customHeight="1">
      <c r="A4" s="34" t="inlineStr">
        <is>
          <t>UAT-ANL-02</t>
        </is>
      </c>
      <c r="B4" s="35" t="inlineStr">
        <is>
          <t>A. Manuel Analiz (/analyze)</t>
        </is>
      </c>
      <c r="C4" s="36" t="inlineStr">
        <is>
          <t>Negatif yorum analizi (otomatik Ticket — Yarı/Tam otomatik)</t>
        </is>
      </c>
      <c r="D4" s="36" t="inlineStr">
        <is>
          <t>Analist · Kurum otomasyon modu Yarı otomatik veya</t>
        </is>
      </c>
      <c r="E4" s="36" t="inlineStr">
        <is>
          <t>1. Metin alanına negatif bir yorum yaz: "Kargom 5 gündür gelmedi, takip
numarası da çalışmıyor. Çok kötü bir hizmet."
2. "Analiz Et"'e bas, 1–5 saniye bekle.</t>
        </is>
      </c>
      <c r="F4" s="36" t="inlineStr">
        <is>
          <t>• Buton "Analiz ediliyor…" gösterip sonra sonucu döner.
• "Analiz sonucu" kartı: Duygu NEGATIF (kırmızı) + skor, Kategori
rozeti + "%.. güven".
• Karar kartı (yeşil): "Otomatik Ticket açıldı" + "Kurumunuzun
otomasyon ayarı bu yoruma göre yeni bir Ticket açtı." + "Yeni Ticket'a git →".
• Linke tıklayınca yeni ticket'ın detay sayfası açılıyor.</t>
        </is>
      </c>
      <c r="G4" s="36" t="inlineStr">
        <is>
          <t>NEGATIF −0.50, kargo %80 güven; yeşil 'Otomatik Ticket açıldı' kartı birebir; Ticket ed2d7b74 açıldı, link detay sayfasını doğru açtı.</t>
        </is>
      </c>
      <c r="H4" s="30" t="inlineStr">
        <is>
          <t>Geçti</t>
        </is>
      </c>
      <c r="I4" s="37" t="inlineStr">
        <is>
          <t>Yüksek</t>
        </is>
      </c>
      <c r="J4" s="35" t="inlineStr">
        <is>
          <t>Claude (otomasyon)</t>
        </is>
      </c>
      <c r="K4" s="34" t="inlineStr">
        <is>
          <t>08.07.2026</t>
        </is>
      </c>
      <c r="L4" s="35" t="inlineStr">
        <is>
          <t>—</t>
        </is>
      </c>
    </row>
    <row r="5" ht="34" customHeight="1">
      <c r="A5" s="30" t="inlineStr">
        <is>
          <t>UAT-ANL-03</t>
        </is>
      </c>
      <c r="B5" s="31" t="inlineStr">
        <is>
          <t>A. Manuel Analiz (/analyze)</t>
        </is>
      </c>
      <c r="C5" s="32" t="inlineStr">
        <is>
          <t>Mükerrer metin (24 saat içinde)</t>
        </is>
      </c>
      <c r="D5" s="32" t="inlineStr">
        <is>
          <t>Analist · UAT-ANL-02'deki yorumu az önce analiz etmiş ol.</t>
        </is>
      </c>
      <c r="E5" s="32" t="inlineStr">
        <is>
          <t>1. Aynı metni tekrar yapıştır → "Analiz Et".</t>
        </is>
      </c>
      <c r="F5" s="32" t="inlineStr">
        <is>
          <t>• Karar kartı (mavi): "Aynı metin son 24 saatte zaten analiz edildi" +
"Tekrar Ticket açılmadı; mevcut Ticket'ın altında çalışmaya devam et."</t>
        </is>
      </c>
      <c r="G5" s="32" t="inlineStr">
        <is>
          <t>Mavi 'Aynı metin son 24 saatte zaten analiz edildi' kartı birebir; 'Mevcut Ticket'a git' aynı Ticket'a (ed2d7b74) gitti.</t>
        </is>
      </c>
      <c r="H5" s="30" t="inlineStr">
        <is>
          <t>Geçti</t>
        </is>
      </c>
      <c r="I5" s="33" t="inlineStr">
        <is>
          <t>Yüksek</t>
        </is>
      </c>
      <c r="J5" s="31" t="inlineStr">
        <is>
          <t>Claude (otomasyon)</t>
        </is>
      </c>
      <c r="K5" s="30" t="inlineStr">
        <is>
          <t>08.07.2026</t>
        </is>
      </c>
      <c r="L5" s="31" t="inlineStr">
        <is>
          <t>—</t>
        </is>
      </c>
    </row>
    <row r="6" ht="47" customHeight="1">
      <c r="A6" s="34" t="inlineStr">
        <is>
          <t>UAT-ANL-04</t>
        </is>
      </c>
      <c r="B6" s="35" t="inlineStr">
        <is>
          <t>A. Manuel Analiz (/analyze)</t>
        </is>
      </c>
      <c r="C6" s="36" t="inlineStr">
        <is>
          <t>Manuel modda Ticket açılmaz</t>
        </is>
      </c>
      <c r="D6" s="36" t="inlineStr">
        <is>
          <t>Yönetici (modu değiştirmek için) · Kurum modu Manuel.</t>
        </is>
      </c>
      <c r="E6" s="36" t="inlineStr">
        <is>
          <t>1. (Yönetici) Ayarlar'dan otomasyon modunu Manuel yap.
2. (Analist veya yönetici) /analyze → negatif bir yorum analiz et.</t>
        </is>
      </c>
      <c r="F6" s="36" t="inlineStr">
        <is>
          <t>• Duygu + kategori normal dönüyor.
• Karar kartı (mavi): "Otomasyon modu manuel — Ticket açılmadı" +
açıklama "kurum ayarlarını Tam veya Yarı otomatik yap".</t>
        </is>
      </c>
      <c r="G6" s="36" t="inlineStr">
        <is>
          <t>NEGATIF −1.00, urun_kalitesi %40; 'Otomasyon modu manuel — Ticket açılmadı' kartı birebir. Mod test sonunda Yarı otomatik'e geri alındı.</t>
        </is>
      </c>
      <c r="H6" s="30" t="inlineStr">
        <is>
          <t>Geçti</t>
        </is>
      </c>
      <c r="I6" s="37" t="inlineStr">
        <is>
          <t>Yüksek</t>
        </is>
      </c>
      <c r="J6" s="35" t="inlineStr">
        <is>
          <t>Claude (otomasyon)</t>
        </is>
      </c>
      <c r="K6" s="34" t="inlineStr">
        <is>
          <t>08.07.2026</t>
        </is>
      </c>
      <c r="L6" s="35" t="inlineStr">
        <is>
          <t>—</t>
        </is>
      </c>
    </row>
    <row r="7" ht="34" customHeight="1">
      <c r="A7" s="30" t="inlineStr">
        <is>
          <t>UAT-ANL-05</t>
        </is>
      </c>
      <c r="B7" s="31" t="inlineStr">
        <is>
          <t>A. Manuel Analiz (/analyze)</t>
        </is>
      </c>
      <c r="C7" s="32" t="inlineStr">
        <is>
          <t>Eşik altı (pozitif yorum, Tam otomatik)</t>
        </is>
      </c>
      <c r="D7" s="32" t="inlineStr">
        <is>
          <t>Analist · Kurum modu Tam otomatik.</t>
        </is>
      </c>
      <c r="E7" s="32" t="inlineStr">
        <is>
          <t>1. Pozitif bir yorum yaz: "Kargom çok hızlı geldi, harika hizmet." → Analiz Et.</t>
        </is>
      </c>
      <c r="F7" s="32" t="inlineStr">
        <is>
          <t>• Duygu POZITIF.
• Karar kartı (mavi): "Eşik altı — Ticket açılmadı".</t>
        </is>
      </c>
      <c r="G7" s="32" t="inlineStr">
        <is>
          <t>Pozitif cümle NEGATIF −0.40 sınıflandı (İkincil Tetikleyici, eşleşen: 'kargo') → Tam otomatik modda YANLIŞ otomatik Ticket açıldı (2a766438). Toplu yüklemede de aynı desen görüldü.</t>
        </is>
      </c>
      <c r="H7" s="30" t="inlineStr">
        <is>
          <t>Kaldı</t>
        </is>
      </c>
      <c r="I7" s="33" t="inlineStr">
        <is>
          <t>Yüksek</t>
        </is>
      </c>
      <c r="J7" s="31" t="inlineStr">
        <is>
          <t>Claude (otomasyon)</t>
        </is>
      </c>
      <c r="K7" s="30" t="inlineStr">
        <is>
          <t>08.07.2026</t>
        </is>
      </c>
      <c r="L7" s="31" t="inlineStr">
        <is>
          <t>HATA-02</t>
        </is>
      </c>
    </row>
    <row r="8" ht="34" customHeight="1">
      <c r="A8" s="34" t="inlineStr">
        <is>
          <t>UAT-ANL-06</t>
        </is>
      </c>
      <c r="B8" s="35" t="inlineStr">
        <is>
          <t>A. Manuel Analiz (/analyze)</t>
        </is>
      </c>
      <c r="C8" s="36" t="inlineStr">
        <is>
          <t>Belirsiz kategori</t>
        </is>
      </c>
      <c r="D8" s="36" t="inlineStr">
        <is>
          <t>Analist.</t>
        </is>
      </c>
      <c r="E8" s="36" t="inlineStr">
        <is>
          <t>1. Konuyla ilgisiz bir metin yaz: "Bugün hava çok güzel, sahile gittim." → Analiz Et.</t>
        </is>
      </c>
      <c r="F8" s="36" t="inlineStr">
        <is>
          <t>• Kategori belirsiz.
• Karar kartı (mavi): "Kategori belirsiz — manuel sınıflandırma gerekli".</t>
        </is>
      </c>
      <c r="G8" s="36" t="inlineStr">
        <is>
          <t>Kategori belirsiz (%0 güven) + 'Kategori belirsiz — manuel sınıflandırma gerekli' kartı doğru. Not: alakasız metne duygu −0.93 NEGATIF verildi (model kalitesi, HATA-02 ile ilişkili).</t>
        </is>
      </c>
      <c r="H8" s="30" t="inlineStr">
        <is>
          <t>Geçti</t>
        </is>
      </c>
      <c r="I8" s="37" t="inlineStr">
        <is>
          <t>Yüksek</t>
        </is>
      </c>
      <c r="J8" s="35" t="inlineStr">
        <is>
          <t>Claude (otomasyon)</t>
        </is>
      </c>
      <c r="K8" s="34" t="inlineStr">
        <is>
          <t>08.07.2026</t>
        </is>
      </c>
      <c r="L8" s="35" t="inlineStr">
        <is>
          <t>—</t>
        </is>
      </c>
    </row>
    <row r="9" ht="47" customHeight="1">
      <c r="A9" s="30" t="inlineStr">
        <is>
          <t>UAT-ANL-07</t>
        </is>
      </c>
      <c r="B9" s="31" t="inlineStr">
        <is>
          <t>A. Manuel Analiz (/analyze)</t>
        </is>
      </c>
      <c r="C9" s="32" t="inlineStr">
        <is>
          <t>"Yine de Ticket Aç" (manuel zorlama)</t>
        </is>
      </c>
      <c r="D9" s="32" t="inlineStr">
        <is>
          <t>Analist · UAT-ANL-04/05/06'daki gibi Ticket açılmamış bir sonuç.</t>
        </is>
      </c>
      <c r="E9" s="32" t="inlineStr">
        <is>
          <t>1. Karar kartının altındaki "Yine de Ticket Aç" butonuna bas.</t>
        </is>
      </c>
      <c r="F9" s="32" t="inlineStr">
        <is>
          <t>• Sistem güveni geçersiz kılınıp manuel Ticket açılıyor; ilgili ticket'a
yönlendiren bağlantı/onay görünüyor.</t>
        </is>
      </c>
      <c r="G9" s="32" t="inlineStr">
        <is>
          <t>KISMEN: yapılandırılmış kategoride (urun_kalitesi) manuel Ticket açıldı (fea02eca). Belirsiz sonuçta buton işlevsiz: API 409 "category 'belirsiz' is not configured"; FE yanlış mesaj gösteriyor ('Bu analiz zaten bir Ticket'a bağlı.').</t>
        </is>
      </c>
      <c r="H9" s="30" t="inlineStr">
        <is>
          <t>Kaldı</t>
        </is>
      </c>
      <c r="I9" s="33" t="inlineStr">
        <is>
          <t>Yüksek</t>
        </is>
      </c>
      <c r="J9" s="31" t="inlineStr">
        <is>
          <t>Claude (otomasyon)</t>
        </is>
      </c>
      <c r="K9" s="30" t="inlineStr">
        <is>
          <t>08.07.2026</t>
        </is>
      </c>
      <c r="L9" s="31" t="inlineStr">
        <is>
          <t>HATA-03 (kısmen)</t>
        </is>
      </c>
    </row>
    <row r="10" ht="47" customHeight="1">
      <c r="A10" s="34" t="inlineStr">
        <is>
          <t>UAT-ANL-08</t>
        </is>
      </c>
      <c r="B10" s="35" t="inlineStr">
        <is>
          <t>A. Manuel Analiz (/analyze)</t>
        </is>
      </c>
      <c r="C10" s="36" t="inlineStr">
        <is>
          <t>Karakter limiti ve NPS doğrulaması</t>
        </is>
      </c>
      <c r="D10" s="36" t="inlineStr">
        <is>
          <t>Analist.</t>
        </is>
      </c>
      <c r="E10" s="36" t="inlineStr">
        <is>
          <t>1. Metin alanını boş bırak → "Analiz Et" butonunun durumuna bak.
2. 10.000 karakteri aşan bir metin yapıştır → sayaç ve butonu gözle.
3. NPS alanına 11 yaz → Analiz Et.</t>
        </is>
      </c>
      <c r="F10" s="36" t="inlineStr">
        <is>
          <t>• Boş metinde buton pasif.
• Sayaç "{n} / 10.000 karakter"; limit aşılınca kırmızı, buton pasif.
• NPS 11 → hata: "NPS 0 ile 10 arasında olmalı."</t>
        </is>
      </c>
      <c r="G10" s="36" t="inlineStr">
        <is>
          <t>Boş metin → buton pasif; 10.200 karakterde sayaç kırmızı + buton pasif; NPS 11 gönderimi engellendi (mesaj native tarayıcı doğrulaması).</t>
        </is>
      </c>
      <c r="H10" s="30" t="inlineStr">
        <is>
          <t>Geçti</t>
        </is>
      </c>
      <c r="I10" s="37" t="inlineStr">
        <is>
          <t>Yüksek</t>
        </is>
      </c>
      <c r="J10" s="35" t="inlineStr">
        <is>
          <t>Claude (otomasyon)</t>
        </is>
      </c>
      <c r="K10" s="34" t="inlineStr">
        <is>
          <t>08.07.2026</t>
        </is>
      </c>
      <c r="L10" s="35" t="inlineStr">
        <is>
          <t>HATA-07 (kozmetik)</t>
        </is>
      </c>
    </row>
    <row r="11" ht="34" customHeight="1">
      <c r="A11" s="30" t="inlineStr">
        <is>
          <t>UAT-ANL-09</t>
        </is>
      </c>
      <c r="B11" s="31" t="inlineStr">
        <is>
          <t>A. Manuel Analiz (/analyze)</t>
        </is>
      </c>
      <c r="C11" s="32" t="inlineStr">
        <is>
          <t>İzleyici manuel analiz yapamaz</t>
        </is>
      </c>
      <c r="D11" s="32" t="inlineStr">
        <is>
          <t>İzleyici.</t>
        </is>
      </c>
      <c r="E11" s="32" t="inlineStr">
        <is>
          <t>1. /analyze'a gitmeyi dene (menüde görünüyorsa tıkla, yoksa URL'yi yaz).</t>
        </is>
      </c>
      <c r="F11" s="32" t="inlineStr">
        <is>
          <t>• İzleyici analiz gönderemiyor (sayfa erişimi engelli ya da gönderimde
"Bu işlem için yetkin yok.").</t>
        </is>
      </c>
      <c r="G11" s="32" t="inlineStr">
        <is>
          <t>Gerçek izleyici hesabıyla: menüde Veri Yükle/Ayarlar/Yönetim yok; /analyze ve /analyze/upload 'Yetkiniz yok'; API POST /analyze → 403 insufficient permissions; hızlı işlemlerde yükleme kısayolu yok.</t>
        </is>
      </c>
      <c r="H11" s="30" t="inlineStr">
        <is>
          <t>Geçti</t>
        </is>
      </c>
      <c r="I11" s="33" t="inlineStr">
        <is>
          <t>Kritik</t>
        </is>
      </c>
      <c r="J11" s="31" t="inlineStr">
        <is>
          <t>Claude + hulusi</t>
        </is>
      </c>
      <c r="K11" s="30" t="inlineStr">
        <is>
          <t>08.07.2026</t>
        </is>
      </c>
      <c r="L11" s="31" t="inlineStr">
        <is>
          <t>Yan bulgular: HATA-05, HATA-10</t>
        </is>
      </c>
    </row>
    <row r="12" ht="47" customHeight="1">
      <c r="A12" s="34" t="inlineStr">
        <is>
          <t>UAT-UPL-01</t>
        </is>
      </c>
      <c r="B12" s="35" t="inlineStr">
        <is>
          <t>B. Toplu Yükleme Sihirbazı (/analyze/upload)</t>
        </is>
      </c>
      <c r="C12" s="36" t="inlineStr">
        <is>
          <t>Şablon indirme</t>
        </is>
      </c>
      <c r="D12" s="36" t="inlineStr">
        <is>
          <t>Analist.</t>
        </is>
      </c>
      <c r="E12" s="36" t="inlineStr">
        <is>
          <t>1. Operasyon → Toplu Yükleme'yi aç.
2. Üstteki "Şablonu İndir" butonuna bas.</t>
        </is>
      </c>
      <c r="F12" s="36" t="inlineStr">
        <is>
          <t>• Başlık "Toplu Yükleme"; açıklama: "CSV ya da XLSX yükleyin; metinler
arka planda analiz edilir, sonuç Analiz Arşivi'nde görünür."
• Şablon imga-toplu-yukleme-sablonu.xlsx adıyla iniyor; içinde yorum kolonu var.</t>
        </is>
      </c>
      <c r="G12" s="36" t="inlineStr">
        <is>
          <t>Başlık/açıklama birebir; GET /analyze/batch/template 200; şablon içeriği doğru (yorum/tarih/kaynak/nps + TALIMAT sayfası).</t>
        </is>
      </c>
      <c r="H12" s="30" t="inlineStr">
        <is>
          <t>Geçti</t>
        </is>
      </c>
      <c r="I12" s="37" t="inlineStr">
        <is>
          <t>Yüksek</t>
        </is>
      </c>
      <c r="J12" s="35" t="inlineStr">
        <is>
          <t>Claude (otomasyon)</t>
        </is>
      </c>
      <c r="K12" s="34" t="inlineStr">
        <is>
          <t>08.07.2026</t>
        </is>
      </c>
      <c r="L12" s="35" t="inlineStr">
        <is>
          <t>HATA-08 (dosya adı)</t>
        </is>
      </c>
    </row>
    <row r="13" ht="47" customHeight="1">
      <c r="A13" s="30" t="inlineStr">
        <is>
          <t>UAT-UPL-02</t>
        </is>
      </c>
      <c r="B13" s="31" t="inlineStr">
        <is>
          <t>B. Toplu Yükleme Sihirbazı (/analyze/upload)</t>
        </is>
      </c>
      <c r="C13" s="32" t="inlineStr">
        <is>
          <t>Adım 1: dosya tipi/boyut doğrulaması</t>
        </is>
      </c>
      <c r="D13" s="32" t="inlineStr">
        <is>
          <t>Analist.</t>
        </is>
      </c>
      <c r="E13" s="32" t="inlineStr">
        <is>
          <t>1. Sürükle-bırak alanına .txt veya .pdf gibi desteklenmeyen bir dosya bırak.
2. 50 MB'tan büyük bir dosya dene (varsa).</t>
        </is>
      </c>
      <c r="F13" s="32" t="inlineStr">
        <is>
          <t>• Yanlış uzantı → "Sadece .csv veya .xlsx dosyaları kabul edilir."
• Çok büyük dosya → "Dosya 50 MB sınırını aşıyor."
• Alanın altında kural: "CSV, XLSX — en fazla 50 MB, en fazla 10.000 satır".</t>
        </is>
      </c>
      <c r="G13" s="32" t="inlineStr">
        <is>
          <t>.txt → 'Sadece .csv veya .xlsx dosyaları kabul edilir.'; 51 MB → 'Dosya 50 MB sınırını aşıyor.'; kural metni mevcut. Üçü de birebir.</t>
        </is>
      </c>
      <c r="H13" s="30" t="inlineStr">
        <is>
          <t>Geçti</t>
        </is>
      </c>
      <c r="I13" s="33" t="inlineStr">
        <is>
          <t>Yüksek</t>
        </is>
      </c>
      <c r="J13" s="31" t="inlineStr">
        <is>
          <t>Claude (otomasyon)</t>
        </is>
      </c>
      <c r="K13" s="30" t="inlineStr">
        <is>
          <t>08.07.2026</t>
        </is>
      </c>
      <c r="L13" s="31" t="inlineStr">
        <is>
          <t>—</t>
        </is>
      </c>
    </row>
    <row r="14" ht="47" customHeight="1">
      <c r="A14" s="34" t="inlineStr">
        <is>
          <t>UAT-UPL-03</t>
        </is>
      </c>
      <c r="B14" s="35" t="inlineStr">
        <is>
          <t>B. Toplu Yükleme Sihirbazı (/analyze/upload)</t>
        </is>
      </c>
      <c r="C14" s="36" t="inlineStr">
        <is>
          <t>TEMİZ dosya: yeşil ön-doğrulama</t>
        </is>
      </c>
      <c r="D14" s="36" t="inlineStr">
        <is>
          <t>Analist · temiz.xlsx (yorum kolonu + 30–100 geçerli satır).</t>
        </is>
      </c>
      <c r="E14" s="36" t="inlineStr">
        <is>
          <t>1. Adım 1'de temiz.xlsx'i seç → otomatik Adım 2'ye geçer.
2. Sütun Eşleştirme ekranındaki ön-doğrulama panelini incele.</t>
        </is>
      </c>
      <c r="F14" s="36" t="inlineStr">
        <is>
          <t>• Yeşil panel + onay ikonu: "Dosya şablona uygun — {N} satır analiz edilecek."
• "Metin sütunu" otomatik yorum tespit edilmiş.
• "Yüklemeyi Başlat" butonu aktif.</t>
        </is>
      </c>
      <c r="G14" s="36" t="inlineStr">
        <is>
          <t>Yeşil panel 'Dosya şablona uygun — 35 satır analiz edilecek.'; metin sütunu otomatik 'yorum'; buton aktif (koşum CSV ile).</t>
        </is>
      </c>
      <c r="H14" s="30" t="inlineStr">
        <is>
          <t>Geçti</t>
        </is>
      </c>
      <c r="I14" s="37" t="inlineStr">
        <is>
          <t>Yüksek</t>
        </is>
      </c>
      <c r="J14" s="35" t="inlineStr">
        <is>
          <t>Claude (otomasyon)</t>
        </is>
      </c>
      <c r="K14" s="34" t="inlineStr">
        <is>
          <t>08.07.2026</t>
        </is>
      </c>
      <c r="L14" s="35" t="inlineStr">
        <is>
          <t>İlişkili: HATA-01, HATA-04</t>
        </is>
      </c>
    </row>
    <row r="15" ht="86" customHeight="1">
      <c r="A15" s="30" t="inlineStr">
        <is>
          <t>UAT-UPL-04</t>
        </is>
      </c>
      <c r="B15" s="31" t="inlineStr">
        <is>
          <t>B. Toplu Yükleme Sihirbazı (/analyze/upload)</t>
        </is>
      </c>
      <c r="C15" s="32" t="inlineStr">
        <is>
          <t>KOLON YOK: kırmızı engelleyici hata (kritik)</t>
        </is>
      </c>
      <c r="D15" s="32" t="inlineStr">
        <is>
          <t>Analist · kolon-yok.xlsx (yorum kolonu hiç yok).</t>
        </is>
      </c>
      <c r="E15" s="32" t="inlineStr">
        <is>
          <t>1. kolon-yok.xlsx'i seç → Adım 2.</t>
        </is>
      </c>
      <c r="F15" s="32" t="inlineStr">
        <is>
          <t>• Kırmızı panel: başlık "Bu dosya yüklenemez".
• Hata mesajı: "Zorunlu 'yorum' kolonu bulunamadı. Dosyadaki kolonlar: …".
• İpucu: "'Şablonu İndir' butonundan Excel şablonunu alın, yorumlarınızı
'yorum' kolonuna yapıştırın."
• "Yüklemeyi Başlat" butonu KİLİTLİ (üzerine gelince: "Dosyadaki
engelleyici hataları düzeltip yeniden yükleyin").</t>
        </is>
      </c>
      <c r="G15" s="32" t="inlineStr">
        <is>
          <t>Kırmızı 'Bu dosya yüklenemez' + 'Zorunlu yorum kolonu bulunamadı. Dosyadaki kolonlar: isim, puan.' + ipucu birebir; buton KİLİTLİ. Bonus: KVKK/kişisel veri uyarısı + onay kutusu çalışıyor.</t>
        </is>
      </c>
      <c r="H15" s="30" t="inlineStr">
        <is>
          <t>Geçti</t>
        </is>
      </c>
      <c r="I15" s="33" t="inlineStr">
        <is>
          <t>Yüksek</t>
        </is>
      </c>
      <c r="J15" s="31" t="inlineStr">
        <is>
          <t>Claude (otomasyon)</t>
        </is>
      </c>
      <c r="K15" s="30" t="inlineStr">
        <is>
          <t>08.07.2026</t>
        </is>
      </c>
      <c r="L15" s="31" t="inlineStr">
        <is>
          <t>—</t>
        </is>
      </c>
    </row>
    <row r="16" ht="47" customHeight="1">
      <c r="A16" s="34" t="inlineStr">
        <is>
          <t>UAT-UPL-05</t>
        </is>
      </c>
      <c r="B16" s="35" t="inlineStr">
        <is>
          <t>B. Toplu Yükleme Sihirbazı (/analyze/upload)</t>
        </is>
      </c>
      <c r="C16" s="36" t="inlineStr">
        <is>
          <t>BOŞ DOSYA: kırmızı hata</t>
        </is>
      </c>
      <c r="D16" s="36" t="inlineStr">
        <is>
          <t>Analist · bos-dosya.xlsx (sadece başlık satırı).</t>
        </is>
      </c>
      <c r="E16" s="36" t="inlineStr">
        <is>
          <t>1. bos-dosya.xlsx'i seç → Adım 2.</t>
        </is>
      </c>
      <c r="F16" s="36" t="inlineStr">
        <is>
          <t>• Kırmızı panel: "Dosya boş ya da yalnızca başlık satırı içeriyor."
• İpucu: "Yorumlarınızı 'yorum' kolonuna yazıp tekrar deneyin."
• "Yüklemeyi Başlat" kilitli.</t>
        </is>
      </c>
      <c r="G16" s="36" t="inlineStr">
        <is>
          <t>'Dosya boş ya da yalnızca başlık satırı içeriyor.' + ipucu + kilitli buton — birebir.</t>
        </is>
      </c>
      <c r="H16" s="30" t="inlineStr">
        <is>
          <t>Geçti</t>
        </is>
      </c>
      <c r="I16" s="37" t="inlineStr">
        <is>
          <t>Yüksek</t>
        </is>
      </c>
      <c r="J16" s="35" t="inlineStr">
        <is>
          <t>Claude (otomasyon)</t>
        </is>
      </c>
      <c r="K16" s="34" t="inlineStr">
        <is>
          <t>08.07.2026</t>
        </is>
      </c>
      <c r="L16" s="35" t="inlineStr">
        <is>
          <t>—</t>
        </is>
      </c>
    </row>
    <row r="17" ht="86" customHeight="1">
      <c r="A17" s="30" t="inlineStr">
        <is>
          <t>UAT-UPL-06</t>
        </is>
      </c>
      <c r="B17" s="31" t="inlineStr">
        <is>
          <t>B. Toplu Yükleme Sihirbazı (/analyze/upload)</t>
        </is>
      </c>
      <c r="C17" s="32" t="inlineStr">
        <is>
          <t>BOŞ HÜCRELER: sarı uyarı (satır numaralı)</t>
        </is>
      </c>
      <c r="D17" s="32" t="inlineStr">
        <is>
          <t>Analist · bos-hucreli.xlsx (bazı satırlarda yorum hücresi boş).</t>
        </is>
      </c>
      <c r="E17" s="32" t="inlineStr">
        <is>
          <t>1. bos-hucreli.xlsx'i seç → Adım 2.</t>
        </is>
      </c>
      <c r="F17" s="32" t="inlineStr">
        <is>
          <t>• Sarı/amber panel: başlık "{N} satır analiz edilecek · {M} satır atlanacak".
• Her boş satır için satır numarasıyla uyarı: örn. "7. satırda 'yorum'
boş — bu satır atlanacak" (50'den fazlaysa "…ve {x} satır daha.").
• Alt açıklama: "Bu satırları yine de yükleyebilirsiniz; atlanan satırlar
analiz edilmez."
• "Yüklemeyi Başlat" butonu aktif (uyarı engellemez).</t>
        </is>
      </c>
      <c r="G17" s="32" t="inlineStr">
        <is>
          <t>Sarı panel '9 satır analiz edilecek · 3 satır atlanacak'; 3./7./10. satır uyarıları beklenen satırlarla birebir; alt açıklama var; buton aktif.</t>
        </is>
      </c>
      <c r="H17" s="30" t="inlineStr">
        <is>
          <t>Geçti</t>
        </is>
      </c>
      <c r="I17" s="33" t="inlineStr">
        <is>
          <t>Yüksek</t>
        </is>
      </c>
      <c r="J17" s="31" t="inlineStr">
        <is>
          <t>Claude (otomasyon)</t>
        </is>
      </c>
      <c r="K17" s="30" t="inlineStr">
        <is>
          <t>08.07.2026</t>
        </is>
      </c>
      <c r="L17" s="31" t="inlineStr">
        <is>
          <t>—</t>
        </is>
      </c>
    </row>
    <row r="18" ht="47" customHeight="1">
      <c r="A18" s="34" t="inlineStr">
        <is>
          <t>UAT-UPL-07</t>
        </is>
      </c>
      <c r="B18" s="35" t="inlineStr">
        <is>
          <t>B. Toplu Yükleme Sihirbazı (/analyze/upload)</t>
        </is>
      </c>
      <c r="C18" s="36" t="inlineStr">
        <is>
          <t>KOPYA SATIRLAR: sarı uyarı</t>
        </is>
      </c>
      <c r="D18" s="36" t="inlineStr">
        <is>
          <t>Analist · kopya-satir.xlsx (aynı yorum 2–3 kez).</t>
        </is>
      </c>
      <c r="E18" s="36" t="inlineStr">
        <is>
          <t>1. kopya-satir.xlsx'i seç → Adım 2.</t>
        </is>
      </c>
      <c r="F18" s="36" t="inlineStr">
        <is>
          <t>• Sarı panel: tekrar eden satırlar için uyarı, örn. "5. satır dosya
içinde tekrar ediyor — bir kez analiz edilecek".
• "Yüklemeyi Başlat" aktif.</t>
        </is>
      </c>
      <c r="G18" s="36" t="inlineStr">
        <is>
          <t>'3. satır dosya içinde tekrar ediyor — bir kez analiz edilecek' ve 6. satır uyarısı doğru; buton aktif.</t>
        </is>
      </c>
      <c r="H18" s="30" t="inlineStr">
        <is>
          <t>Geçti</t>
        </is>
      </c>
      <c r="I18" s="37" t="inlineStr">
        <is>
          <t>Yüksek</t>
        </is>
      </c>
      <c r="J18" s="35" t="inlineStr">
        <is>
          <t>Claude (otomasyon)</t>
        </is>
      </c>
      <c r="K18" s="34" t="inlineStr">
        <is>
          <t>08.07.2026</t>
        </is>
      </c>
      <c r="L18" s="35" t="inlineStr">
        <is>
          <t>—</t>
        </is>
      </c>
    </row>
    <row r="19" ht="73" customHeight="1">
      <c r="A19" s="30" t="inlineStr">
        <is>
          <t>UAT-UPL-08</t>
        </is>
      </c>
      <c r="B19" s="31" t="inlineStr">
        <is>
          <t>B. Toplu Yükleme Sihirbazı (/analyze/upload)</t>
        </is>
      </c>
      <c r="C19" s="32" t="inlineStr">
        <is>
          <t>Eski format (text kolonu) geriye uyumluluk</t>
        </is>
      </c>
      <c r="D19" s="32" t="inlineStr">
        <is>
          <t>Analist · eski-format.xlsx (yorum yerine eski text kolonu).</t>
        </is>
      </c>
      <c r="E19" s="32" t="inlineStr">
        <is>
          <t>1. eski-format.xlsx'i seç → Adım 2.</t>
        </is>
      </c>
      <c r="F19" s="32" t="inlineStr">
        <is>
          <t>• Dosya kabul ediliyor (yeşil veya sarı panel) — eski text kolonu
hâlâ geçerli.
• "Metin sütunu" text olarak tespit ediliyor.
• Bu özellikle test edilmeli: eski müşteri dosyaları "yüklenemez"
hatası vermemeli.</t>
        </is>
      </c>
      <c r="G19" s="32" t="inlineStr">
        <is>
          <t>KISMEN: dosya KABUL edildi (yeşil panel, '10 satır analiz edilecek') — eski dosya reddedilmiyor (kritik gereksinim sağlandı). Sapma: 'Metin sütunu' alanı 'text'e güncellenmiyor, 'yorum' kalıyor.</t>
        </is>
      </c>
      <c r="H19" s="30" t="inlineStr">
        <is>
          <t>Kaldı</t>
        </is>
      </c>
      <c r="I19" s="33" t="inlineStr">
        <is>
          <t>Yüksek</t>
        </is>
      </c>
      <c r="J19" s="31" t="inlineStr">
        <is>
          <t>Claude (otomasyon)</t>
        </is>
      </c>
      <c r="K19" s="30" t="inlineStr">
        <is>
          <t>08.07.2026</t>
        </is>
      </c>
      <c r="L19" s="31" t="inlineStr">
        <is>
          <t>HATA-06 (kısmen, düşük)</t>
        </is>
      </c>
    </row>
    <row r="20" ht="60" customHeight="1">
      <c r="A20" s="34" t="inlineStr">
        <is>
          <t>UAT-UPL-09</t>
        </is>
      </c>
      <c r="B20" s="35" t="inlineStr">
        <is>
          <t>B. Toplu Yükleme Sihirbazı (/analyze/upload)</t>
        </is>
      </c>
      <c r="C20" s="36" t="inlineStr">
        <is>
          <t>Otomatik Ticket aç seçeneği</t>
        </is>
      </c>
      <c r="D20" s="36" t="inlineStr">
        <is>
          <t>Analist · temiz.xlsx.</t>
        </is>
      </c>
      <c r="E20" s="36" t="inlineStr">
        <is>
          <t>1. Adım 2'de "Otomatik Ticket aç" kutusunu incele (aç/kapat).</t>
        </is>
      </c>
      <c r="F20" s="36" t="inlineStr">
        <is>
          <t>• Açıklama: "Kurumunuzun otomasyon modu ayarına göre eşiği geçen satırlar
için otomatik Ticket açılır. Kapalıysa hiçbir satır Ticket açmaz; tüm
analizler Analiz Arşivi'nde listelenir."
• Seçim yüklemeye yansıyor.</t>
        </is>
      </c>
      <c r="G20" s="36" t="inlineStr">
        <is>
          <t>Açıklama metni birebir; kutu kapalıyken koşulan 40 satırlık yüklemede Ticket sayacı 0 kaldı (seçim yansıyor).</t>
        </is>
      </c>
      <c r="H20" s="30" t="inlineStr">
        <is>
          <t>Geçti</t>
        </is>
      </c>
      <c r="I20" s="37" t="inlineStr">
        <is>
          <t>Yüksek</t>
        </is>
      </c>
      <c r="J20" s="35" t="inlineStr">
        <is>
          <t>Claude (otomasyon)</t>
        </is>
      </c>
      <c r="K20" s="34" t="inlineStr">
        <is>
          <t>08.07.2026</t>
        </is>
      </c>
      <c r="L20" s="35" t="inlineStr">
        <is>
          <t>—</t>
        </is>
      </c>
    </row>
    <row r="21" ht="73" customHeight="1">
      <c r="A21" s="30" t="inlineStr">
        <is>
          <t>UAT-UPL-10</t>
        </is>
      </c>
      <c r="B21" s="31" t="inlineStr">
        <is>
          <t>B. Toplu Yükleme Sihirbazı (/analyze/upload)</t>
        </is>
      </c>
      <c r="C21" s="32" t="inlineStr">
        <is>
          <t>Adım 3: ilerleme ve canlı sayaçlar</t>
        </is>
      </c>
      <c r="D21" s="32" t="inlineStr">
        <is>
          <t>Analist · temiz.xlsx (30–100 satır).</t>
        </is>
      </c>
      <c r="E21" s="32" t="inlineStr">
        <is>
          <t>1. Adım 2'de "Yüklemeyi Başlat"'a bas.
2. Adım 3 (İlerleme) ekranını izle.</t>
        </is>
      </c>
      <c r="F21" s="32" t="inlineStr">
        <is>
          <t>• Dosya adı + satır sayısı görünüyor.
• İlerleme çubuğu % canlı artıyor.
• Sayaçlar güncelleniyor: Başarılı, Hatalı, Tekrar, Ticket.
• Tahmini kalan süre (varsa) görünüyor.
• İş bitince otomatik Adım 4'e geçiyor.</t>
        </is>
      </c>
      <c r="G21" s="32" t="inlineStr">
        <is>
          <t>Dosya adı + satır sayısı + ilerleme çubuğu + 4 sayaç (Başarılı/Hatalı/Tekrar/Ticket) + tahmini süre; canlı artış 500 satırlık koşuda gözlendi (0→100→450); bitince otomatik Adım 4.</t>
        </is>
      </c>
      <c r="H21" s="30" t="inlineStr">
        <is>
          <t>Geçti</t>
        </is>
      </c>
      <c r="I21" s="33" t="inlineStr">
        <is>
          <t>Yüksek</t>
        </is>
      </c>
      <c r="J21" s="31" t="inlineStr">
        <is>
          <t>Claude (otomasyon)</t>
        </is>
      </c>
      <c r="K21" s="30" t="inlineStr">
        <is>
          <t>08.07.2026</t>
        </is>
      </c>
      <c r="L21" s="31" t="inlineStr">
        <is>
          <t>—</t>
        </is>
      </c>
    </row>
    <row r="22" ht="47" customHeight="1">
      <c r="A22" s="34" t="inlineStr">
        <is>
          <t>UAT-UPL-11</t>
        </is>
      </c>
      <c r="B22" s="35" t="inlineStr">
        <is>
          <t>B. Toplu Yükleme Sihirbazı (/analyze/upload)</t>
        </is>
      </c>
      <c r="C22" s="36" t="inlineStr">
        <is>
          <t>İlerlemeyi iptal etme</t>
        </is>
      </c>
      <c r="D22" s="36" t="inlineStr">
        <is>
          <t>Analist · Yeterince büyük bir dosya (iptal için zaman olsun).</t>
        </is>
      </c>
      <c r="E22" s="36" t="inlineStr">
        <is>
          <t>1. Yükleme sürerken (Adım 3) "İptal Et" butonuna bas.</t>
        </is>
      </c>
      <c r="F22" s="36" t="inlineStr">
        <is>
          <t>• İş iptal ediliyor; durum "İptal edildi" oluyor.</t>
        </is>
      </c>
      <c r="G22" s="36" t="inlineStr">
        <is>
          <t>500 satırlık iş 450. satırda iptal edildi; Adım 4 başlığı 'İptal edildi'; işlenen sayılar korundu.</t>
        </is>
      </c>
      <c r="H22" s="30" t="inlineStr">
        <is>
          <t>Geçti</t>
        </is>
      </c>
      <c r="I22" s="37" t="inlineStr">
        <is>
          <t>Yüksek</t>
        </is>
      </c>
      <c r="J22" s="35" t="inlineStr">
        <is>
          <t>Claude (otomasyon)</t>
        </is>
      </c>
      <c r="K22" s="34" t="inlineStr">
        <is>
          <t>08.07.2026</t>
        </is>
      </c>
      <c r="L22" s="35" t="inlineStr">
        <is>
          <t>—</t>
        </is>
      </c>
    </row>
    <row r="23" ht="47" customHeight="1">
      <c r="A23" s="30" t="inlineStr">
        <is>
          <t>UAT-UPL-12</t>
        </is>
      </c>
      <c r="B23" s="31" t="inlineStr">
        <is>
          <t>B. Toplu Yükleme Sihirbazı (/analyze/upload)</t>
        </is>
      </c>
      <c r="C23" s="32" t="inlineStr">
        <is>
          <t>Yarım kalan yüklemeye yeniden bağlanma</t>
        </is>
      </c>
      <c r="D23" s="32" t="inlineStr">
        <is>
          <t>Analist · Bir yükleme devam ederken.</t>
        </is>
      </c>
      <c r="E23" s="32" t="inlineStr">
        <is>
          <t>1. Yükleme sürerken sayfayı yenile (F5) ya da başka sayfaya gidip geri dön.</t>
        </is>
      </c>
      <c r="F23" s="32" t="inlineStr">
        <is>
          <t>• Sistem devam eden işi buluyor; bilgi mesajı: "Devam eden yükleme
bulundu ({dosya}) — ilerlemeye yeniden bağlanıldı."
• Tekrar Adım 3 ilerlemesine dönülüyor.</t>
        </is>
      </c>
      <c r="G23" s="32" t="inlineStr">
        <is>
          <t>F5 sonrası sihirbaz devam eden işi bulup doğrudan Adım 3 ilerlemesine döndü (100/500'den canlı devam). Bilgi toast'ı gözlemlenemedi — davranış tam.</t>
        </is>
      </c>
      <c r="H23" s="30" t="inlineStr">
        <is>
          <t>Geçti</t>
        </is>
      </c>
      <c r="I23" s="33" t="inlineStr">
        <is>
          <t>Yüksek</t>
        </is>
      </c>
      <c r="J23" s="31" t="inlineStr">
        <is>
          <t>Claude (otomasyon)</t>
        </is>
      </c>
      <c r="K23" s="30" t="inlineStr">
        <is>
          <t>08.07.2026</t>
        </is>
      </c>
      <c r="L23" s="31" t="inlineStr">
        <is>
          <t>—</t>
        </is>
      </c>
    </row>
    <row r="24" ht="86" customHeight="1">
      <c r="A24" s="34" t="inlineStr">
        <is>
          <t>UAT-UPL-13</t>
        </is>
      </c>
      <c r="B24" s="35" t="inlineStr">
        <is>
          <t>B. Toplu Yükleme Sihirbazı (/analyze/upload)</t>
        </is>
      </c>
      <c r="C24" s="36" t="inlineStr">
        <is>
          <t>Adım 4: tamamlanma özeti</t>
        </is>
      </c>
      <c r="D24" s="36" t="inlineStr">
        <is>
          <t>Analist · Bir yükleme tamamlanmış.</t>
        </is>
      </c>
      <c r="E24" s="36" t="inlineStr">
        <is>
          <t>1. Adım 4 (Tamamlandı) ekranını incele.</t>
        </is>
      </c>
      <c r="F24" s="36" t="inlineStr">
        <is>
          <t>• Başlık "Tamamlandı" (yeşil) veya hata varsa "Başarısız" (amber).
• Sayaçlar: İşlenen / Başarılı / Hatalı / Ticket.
• Hata varsa "Hata özeti ({adet})" açılır listede satır numaralı hatalar.
• "Bu Yüklemenin Analizlerini Gör" butonu → Analiz Arşivi'ni o yüklemeye
filtreli açıyor.
• "Yeni Yükleme" butonu sihirbazı Adım 1'e sıfırlıyor.</t>
        </is>
      </c>
      <c r="G24" s="36" t="inlineStr">
        <is>
          <t>'Tamamlandı' (İşlenen 40 / Başarılı 40 / Hatalı 0 / Ticket 0) ve 'İptal edildi' (450) varyantlarının ikisi de görüldü; 'Analizleri Gör' filtreli açtı (40 kayıt), 'Yeni Yükleme' sıfırladı.</t>
        </is>
      </c>
      <c r="H24" s="30" t="inlineStr">
        <is>
          <t>Geçti</t>
        </is>
      </c>
      <c r="I24" s="37" t="inlineStr">
        <is>
          <t>Yüksek</t>
        </is>
      </c>
      <c r="J24" s="35" t="inlineStr">
        <is>
          <t>Claude (otomasyon)</t>
        </is>
      </c>
      <c r="K24" s="34" t="inlineStr">
        <is>
          <t>08.07.2026</t>
        </is>
      </c>
      <c r="L24" s="35" t="inlineStr">
        <is>
          <t>—</t>
        </is>
      </c>
    </row>
    <row r="25" ht="34" customHeight="1">
      <c r="A25" s="30" t="inlineStr">
        <is>
          <t>UAT-UPL-14</t>
        </is>
      </c>
      <c r="B25" s="31" t="inlineStr">
        <is>
          <t>B. Toplu Yükleme Sihirbazı (/analyze/upload)</t>
        </is>
      </c>
      <c r="C25" s="32" t="inlineStr">
        <is>
          <t>CSV ile tekrar</t>
        </is>
      </c>
      <c r="D25" s="32" t="inlineStr">
        <is>
          <t>Analist · temiz.csv (xlsx yerine CSV).</t>
        </is>
      </c>
      <c r="E25" s="32" t="inlineStr">
        <is>
          <t>1. UAT-UPL-03 + UAT-UPL-10'u bir .csv dosyasıyla tekrar et.</t>
        </is>
      </c>
      <c r="F25" s="32" t="inlineStr">
        <is>
          <t>• CSV de aynı şekilde ön-doğrulamadan geçip yükleniyor.</t>
        </is>
      </c>
      <c r="G25" s="32" t="inlineStr">
        <is>
          <t>Ön-doğrulama senaryoları (UPL-03…08) ve tam yükleme akışı (UPL-10/13) CSV ile uçtan uca koşuldu.</t>
        </is>
      </c>
      <c r="H25" s="30" t="inlineStr">
        <is>
          <t>Geçti</t>
        </is>
      </c>
      <c r="I25" s="33" t="inlineStr">
        <is>
          <t>Yüksek</t>
        </is>
      </c>
      <c r="J25" s="31" t="inlineStr">
        <is>
          <t>Claude (otomasyon)</t>
        </is>
      </c>
      <c r="K25" s="30" t="inlineStr">
        <is>
          <t>08.07.2026</t>
        </is>
      </c>
      <c r="L25" s="31" t="inlineStr">
        <is>
          <t>—</t>
        </is>
      </c>
    </row>
    <row r="26" ht="73" customHeight="1">
      <c r="A26" s="34" t="inlineStr">
        <is>
          <t>UAT-UPL-15</t>
        </is>
      </c>
      <c r="B26" s="35" t="inlineStr">
        <is>
          <t>C. Geçmiş Yüklemeler (/analyze/upload/history)</t>
        </is>
      </c>
      <c r="C26" s="36" t="inlineStr">
        <is>
          <t>Geçmiş listesi</t>
        </is>
      </c>
      <c r="D26" s="36" t="inlineStr">
        <is>
          <t>Analist · En az 1 tamamlanmış yükleme.</t>
        </is>
      </c>
      <c r="E26" s="36" t="inlineStr">
        <is>
          <t>1. Toplu Yükleme sayfasından "Geçmiş Yüklemeler"'e git.</t>
        </is>
      </c>
      <c r="F26" s="36" t="inlineStr">
        <is>
          <t>• Başlık "Geçmiş Yüklemeler".
• Tablo: Tarih, Dosya, Satır, Durum, Başarılı, Hata, Ticket sütunları.
• Durum rozetleri renkli (tamamlandı=yeşil, işleniyor=sarı, başarısız=kırmızı).
• Her satırda "Analizleri gör →" linki çalışıyor.
• Boşken: "Henüz toplu yükleme yok. İlk dosyanızı buradan yükleyebilirsiniz."</t>
        </is>
      </c>
      <c r="G26" s="36" t="inlineStr">
        <is>
          <t>Başlık, kolonlar ve filtreli 'Analizleri gör' linki doğru; İptal + Tamamlandı koşuları listede. Kozmetik: 'Tamamlandı' rozeti yeşil değil turuncu.</t>
        </is>
      </c>
      <c r="H26" s="30" t="inlineStr">
        <is>
          <t>Geçti</t>
        </is>
      </c>
      <c r="I26" s="37" t="inlineStr">
        <is>
          <t>Yüksek</t>
        </is>
      </c>
      <c r="J26" s="35" t="inlineStr">
        <is>
          <t>Claude (otomasyon)</t>
        </is>
      </c>
      <c r="K26" s="34" t="inlineStr">
        <is>
          <t>08.07.2026</t>
        </is>
      </c>
      <c r="L26" s="35" t="inlineStr">
        <is>
          <t>HATA-09 (kozmetik)</t>
        </is>
      </c>
    </row>
  </sheetData>
  <autoFilter ref="A2:L26"/>
  <mergeCells count="1">
    <mergeCell ref="A1:L1"/>
  </mergeCells>
  <conditionalFormatting sqref="H3:H26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26" showDropDown="0" showInputMessage="0" showErrorMessage="0" allowBlank="1" type="list">
      <formula1>"Geçti,Kaldı,Bloke,Uygulanamaz"</formula1>
    </dataValidation>
    <dataValidation sqref="I3:I26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06 · Aksiyon &amp; Uyarılar   (11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60" customHeight="1">
      <c r="A3" s="30" t="inlineStr">
        <is>
          <t>UAT-ACT-01</t>
        </is>
      </c>
      <c r="B3" s="31" t="inlineStr">
        <is>
          <t>A. Aksiyonlar (/action-items)</t>
        </is>
      </c>
      <c r="C3" s="32" t="inlineStr">
        <is>
          <t>Liste ve "Bugün dikkat" odağı</t>
        </is>
      </c>
      <c r="D3" s="32" t="inlineStr">
        <is>
          <t>Herhangi bir rol · En az bir Açık + Yüksek aksiyon var.</t>
        </is>
      </c>
      <c r="E3" s="32" t="inlineStr">
        <is>
          <t>1. Sol menü → Aksiyonlar.</t>
        </is>
      </c>
      <c r="F3" s="32" t="inlineStr">
        <is>
          <t>• Başlık "Aksiyonlar", alt başlık "Yönetici özeti ve SWOT
raporlarından çıkarılan veya manuel eklenen takip görevleri."
• Üstte "Bugün dikkat" + "{n} yüksek öncelikli açık aksiyon"; 3'ten
fazlaysa "Tümünü gör" (status=open &amp; priority=high filtreler).</t>
        </is>
      </c>
      <c r="G3" s="32" t="inlineStr"/>
      <c r="H3" s="30" t="inlineStr"/>
      <c r="I3" s="33" t="inlineStr">
        <is>
          <t>Orta</t>
        </is>
      </c>
      <c r="J3" s="31" t="inlineStr"/>
      <c r="K3" s="30" t="inlineStr"/>
      <c r="L3" s="31" t="inlineStr"/>
    </row>
    <row r="4" ht="47" customHeight="1">
      <c r="A4" s="34" t="inlineStr">
        <is>
          <t>UAT-ACT-02</t>
        </is>
      </c>
      <c r="B4" s="35" t="inlineStr">
        <is>
          <t>A. Aksiyonlar (/action-items)</t>
        </is>
      </c>
      <c r="C4" s="36" t="inlineStr">
        <is>
          <t>Filtreler (durum / öncelik / arşiv)</t>
        </is>
      </c>
      <c r="D4" s="36" t="inlineStr">
        <is>
          <t>Herhangi bir rol.</t>
        </is>
      </c>
      <c r="E4" s="36" t="inlineStr">
        <is>
          <t>1. Durum ve Öncelik açılırlarını değiştir.
2. "Arşivi göster" kutusunu işaretle.
3. Sayfayı yenile (F5) ve URL'yi gözle.</t>
        </is>
      </c>
      <c r="F4" s="36" t="inlineStr">
        <is>
          <t>• Liste filtreye göre daralıyor; "{n} kayıt" sayacı güncelleniyor.
• Filtreler URL'ye yansıyor; yenilemede korunuyor.
• Boşken: "Aksiyon yok."</t>
        </is>
      </c>
      <c r="G4" s="36" t="inlineStr"/>
      <c r="H4" s="30" t="inlineStr"/>
      <c r="I4" s="37" t="inlineStr">
        <is>
          <t>Orta</t>
        </is>
      </c>
      <c r="J4" s="35" t="inlineStr"/>
      <c r="K4" s="34" t="inlineStr"/>
      <c r="L4" s="35" t="inlineStr"/>
    </row>
    <row r="5" ht="34" customHeight="1">
      <c r="A5" s="30" t="inlineStr">
        <is>
          <t>UAT-ACT-03</t>
        </is>
      </c>
      <c r="B5" s="31" t="inlineStr">
        <is>
          <t>A. Aksiyonlar (/action-items)</t>
        </is>
      </c>
      <c r="C5" s="32" t="inlineStr">
        <is>
          <t>Yeni aksiyon oluşturma</t>
        </is>
      </c>
      <c r="D5" s="32" t="inlineStr">
        <is>
          <t>Analist/Yönetici.</t>
        </is>
      </c>
      <c r="E5" s="32" t="inlineStr">
        <is>
          <t>1. "Yeni aksiyon" → modal: Başlık + Açıklama + Öncelik.
2. Başlık veya açıklamayı boş bırakıp "Ekle"'yi dene; sonra doldurup ekle.</t>
        </is>
      </c>
      <c r="F5" s="32" t="inlineStr">
        <is>
          <t>• Başlık/açıklama zorunlu (boşken gönderilemez).
• Eklenince bildirim "Aksiyon eklendi."; liste güncelleniyor.</t>
        </is>
      </c>
      <c r="G5" s="32" t="inlineStr"/>
      <c r="H5" s="30" t="inlineStr"/>
      <c r="I5" s="33" t="inlineStr">
        <is>
          <t>Orta</t>
        </is>
      </c>
      <c r="J5" s="31" t="inlineStr"/>
      <c r="K5" s="30" t="inlineStr"/>
      <c r="L5" s="31" t="inlineStr"/>
    </row>
    <row r="6" ht="34" customHeight="1">
      <c r="A6" s="34" t="inlineStr">
        <is>
          <t>UAT-ACT-04</t>
        </is>
      </c>
      <c r="B6" s="35" t="inlineStr">
        <is>
          <t>A. Aksiyonlar (/action-items)</t>
        </is>
      </c>
      <c r="C6" s="36" t="inlineStr">
        <is>
          <t>Durum değiştirme</t>
        </is>
      </c>
      <c r="D6" s="36" t="inlineStr">
        <is>
          <t>Analist/Yönetici · Bir aksiyon.</t>
        </is>
      </c>
      <c r="E6" s="36" t="inlineStr">
        <is>
          <t>1. Satırdaki durum açılırından durumu Devam Ediyor → Tamamlandı yap.</t>
        </is>
      </c>
      <c r="F6" s="36" t="inlineStr">
        <is>
          <t>• Durum anında güncelleniyor; "Tamamlandı"da tamamlanma zamanı işleniyor.
• Geçmiş (aşağıda) ilgili olayı gösteriyor.</t>
        </is>
      </c>
      <c r="G6" s="36" t="inlineStr"/>
      <c r="H6" s="30" t="inlineStr"/>
      <c r="I6" s="37" t="inlineStr">
        <is>
          <t>Orta</t>
        </is>
      </c>
      <c r="J6" s="35" t="inlineStr"/>
      <c r="K6" s="34" t="inlineStr"/>
      <c r="L6" s="35" t="inlineStr"/>
    </row>
    <row r="7" ht="47" customHeight="1">
      <c r="A7" s="30" t="inlineStr">
        <is>
          <t>UAT-ACT-05</t>
        </is>
      </c>
      <c r="B7" s="31" t="inlineStr">
        <is>
          <t>A. Aksiyonlar (/action-items)</t>
        </is>
      </c>
      <c r="C7" s="32" t="inlineStr">
        <is>
          <t>Geçmiş (audit) görüntüleme</t>
        </is>
      </c>
      <c r="D7" s="32" t="inlineStr">
        <is>
          <t>Bir aksiyon (birkaç değişiklik yapılmış).</t>
        </is>
      </c>
      <c r="E7" s="32" t="inlineStr">
        <is>
          <t>1. Satırda "Geçmiş"'e bas.</t>
        </is>
      </c>
      <c r="F7" s="32" t="inlineStr">
        <is>
          <t>• Zaman damgalı olaylar: Oluşturuldu / Güncellendi / Durum değişti
("{eski} → {yeni}") / Önceliği değişti / Arşivlendi vb.
• Boşsa "Olay yok."; yüklenirken "Geçmiş yükleniyor…".</t>
        </is>
      </c>
      <c r="G7" s="32" t="inlineStr"/>
      <c r="H7" s="30" t="inlineStr"/>
      <c r="I7" s="33" t="inlineStr">
        <is>
          <t>Orta</t>
        </is>
      </c>
      <c r="J7" s="31" t="inlineStr"/>
      <c r="K7" s="30" t="inlineStr"/>
      <c r="L7" s="31" t="inlineStr"/>
    </row>
    <row r="8" ht="34" customHeight="1">
      <c r="A8" s="34" t="inlineStr">
        <is>
          <t>UAT-ACT-06</t>
        </is>
      </c>
      <c r="B8" s="35" t="inlineStr">
        <is>
          <t>A. Aksiyonlar (/action-items)</t>
        </is>
      </c>
      <c r="C8" s="36" t="inlineStr">
        <is>
          <t>Arşivleme ve geri alma</t>
        </is>
      </c>
      <c r="D8" s="36" t="inlineStr">
        <is>
          <t>Analist/Yönetici · Bir aktif aksiyon.</t>
        </is>
      </c>
      <c r="E8" s="36" t="inlineStr">
        <is>
          <t>1. "Arşivle" → onay "Aksiyon arşivlensin mi? (Geri alınabilir)" → onayla.
2. "Arşivi göster" ile arşivli satırı bul → "Geri al".</t>
        </is>
      </c>
      <c r="F8" s="36" t="inlineStr">
        <is>
          <t>• Arşivleyince "Arşivlendi."; satır arşivli rozetiyle soluk görünüyor.
• Geri alınca "Geri alındı."; satır tekrar aktif.</t>
        </is>
      </c>
      <c r="G8" s="36" t="inlineStr"/>
      <c r="H8" s="30" t="inlineStr"/>
      <c r="I8" s="37" t="inlineStr">
        <is>
          <t>Orta</t>
        </is>
      </c>
      <c r="J8" s="35" t="inlineStr"/>
      <c r="K8" s="34" t="inlineStr"/>
      <c r="L8" s="35" t="inlineStr"/>
    </row>
    <row r="9" ht="34" customHeight="1">
      <c r="A9" s="30" t="inlineStr">
        <is>
          <t>UAT-ACT-07</t>
        </is>
      </c>
      <c r="B9" s="31" t="inlineStr">
        <is>
          <t>A. Aksiyonlar (/action-items)</t>
        </is>
      </c>
      <c r="C9" s="32" t="inlineStr">
        <is>
          <t>İzleyici salt-okunur</t>
        </is>
      </c>
      <c r="D9" s="32" t="inlineStr">
        <is>
          <t>İzleyici.</t>
        </is>
      </c>
      <c r="E9" s="32" t="inlineStr">
        <is>
          <t>1. İzleyici ile Aksiyonlar'ı aç.</t>
        </is>
      </c>
      <c r="F9" s="32" t="inlineStr">
        <is>
          <t>• Liste görünüyor ama "Yeni aksiyon", durum değiştirme, arşivleme
işlemleri yapılamıyor (butonlar yok / işlem reddediliyor).</t>
        </is>
      </c>
      <c r="G9" s="32" t="inlineStr"/>
      <c r="H9" s="30" t="inlineStr"/>
      <c r="I9" s="33" t="inlineStr">
        <is>
          <t>Orta</t>
        </is>
      </c>
      <c r="J9" s="31" t="inlineStr"/>
      <c r="K9" s="30" t="inlineStr"/>
      <c r="L9" s="31" t="inlineStr"/>
    </row>
    <row r="10" ht="60" customHeight="1">
      <c r="A10" s="34" t="inlineStr">
        <is>
          <t>UAT-TRD-01</t>
        </is>
      </c>
      <c r="B10" s="35" t="inlineStr">
        <is>
          <t>B. Trend Uyarıları (/trend-alerts)</t>
        </is>
      </c>
      <c r="C10" s="36" t="inlineStr">
        <is>
          <t>Liste ve durum filtresi</t>
        </is>
      </c>
      <c r="D10" s="36" t="inlineStr">
        <is>
          <t>Herhangi bir rol · En az bir uyarı var.</t>
        </is>
      </c>
      <c r="E10" s="36" t="inlineStr">
        <is>
          <t>1. Sol menü → Uyarılar.
2. Durum açılırını Aktif / Onaylanmış / Atılmış / Tümü arasında değiştir.</t>
        </is>
      </c>
      <c r="F10" s="36" t="inlineStr">
        <is>
          <t>• Başlık "Trend Uyarıları", alt başlık "KPI sapması eşiklerini geçen
değişimler. Manuel evaluate ile yeni uyarıları yenileyebilirsiniz."
• Her uyarı kartında: başlık, önem rozeti (renkli), oluşturma zamanı, tür, açıklama.
• Boşsa: "Bu filtrelerle uyarı yok."</t>
        </is>
      </c>
      <c r="G10" s="36" t="inlineStr"/>
      <c r="H10" s="30" t="inlineStr"/>
      <c r="I10" s="37" t="inlineStr">
        <is>
          <t>Orta</t>
        </is>
      </c>
      <c r="J10" s="35" t="inlineStr"/>
      <c r="K10" s="34" t="inlineStr"/>
      <c r="L10" s="35" t="inlineStr"/>
    </row>
    <row r="11" ht="47" customHeight="1">
      <c r="A11" s="30" t="inlineStr">
        <is>
          <t>UAT-TRD-02</t>
        </is>
      </c>
      <c r="B11" s="31" t="inlineStr">
        <is>
          <t>B. Trend Uyarıları (/trend-alerts)</t>
        </is>
      </c>
      <c r="C11" s="32" t="inlineStr">
        <is>
          <t>Uyarı onaylama / atma</t>
        </is>
      </c>
      <c r="D11" s="32" t="inlineStr">
        <is>
          <t>Herhangi bir rol · Aktif bir uyarı.</t>
        </is>
      </c>
      <c r="E11" s="32" t="inlineStr">
        <is>
          <t>1. Bir aktif uyarıda "Onayla"'ya bas.
2. Başka bir aktif uyarıda "At"'a bas.</t>
        </is>
      </c>
      <c r="F11" s="32" t="inlineStr">
        <is>
          <t>• "Onayla" → durum "Onaylandı" (onaylayan + zaman damgalı).
• "At" → durum "Atıldı".
• Aktif olmayan uyarılarda buton yerine durum metni görünüyor.</t>
        </is>
      </c>
      <c r="G11" s="32" t="inlineStr"/>
      <c r="H11" s="30" t="inlineStr"/>
      <c r="I11" s="33" t="inlineStr">
        <is>
          <t>Orta</t>
        </is>
      </c>
      <c r="J11" s="31" t="inlineStr"/>
      <c r="K11" s="30" t="inlineStr"/>
      <c r="L11" s="31" t="inlineStr"/>
    </row>
    <row r="12" ht="34" customHeight="1">
      <c r="A12" s="34" t="inlineStr">
        <is>
          <t>UAT-TRD-03</t>
        </is>
      </c>
      <c r="B12" s="35" t="inlineStr">
        <is>
          <t>B. Trend Uyarıları (/trend-alerts)</t>
        </is>
      </c>
      <c r="C12" s="36" t="inlineStr">
        <is>
          <t>"Şimdi Değerlendir" (yalnız yönetici)</t>
        </is>
      </c>
      <c r="D12" s="36" t="inlineStr">
        <is>
          <t>Yönetici.</t>
        </is>
      </c>
      <c r="E12" s="36" t="inlineStr">
        <is>
          <t>1. "Şimdi Değerlendir" butonuna bas.</t>
        </is>
      </c>
      <c r="F12" s="36" t="inlineStr">
        <is>
          <t>• Bildirim "{n} yeni uyarı." (yeni uyarı yoksa 0 olabilir).
• Hata olursa: "Değerlendirme başarısız."</t>
        </is>
      </c>
      <c r="G12" s="36" t="inlineStr"/>
      <c r="H12" s="30" t="inlineStr"/>
      <c r="I12" s="37" t="inlineStr">
        <is>
          <t>Orta</t>
        </is>
      </c>
      <c r="J12" s="35" t="inlineStr"/>
      <c r="K12" s="34" t="inlineStr"/>
      <c r="L12" s="35" t="inlineStr"/>
    </row>
    <row r="13" ht="34" customHeight="1">
      <c r="A13" s="30" t="inlineStr">
        <is>
          <t>UAT-TRD-04</t>
        </is>
      </c>
      <c r="B13" s="31" t="inlineStr">
        <is>
          <t>B. Trend Uyarıları (/trend-alerts)</t>
        </is>
      </c>
      <c r="C13" s="32" t="inlineStr">
        <is>
          <t>İzleyici/analist değerlendiremez</t>
        </is>
      </c>
      <c r="D13" s="32" t="inlineStr">
        <is>
          <t>İzleyici veya Analist.</t>
        </is>
      </c>
      <c r="E13" s="32" t="inlineStr">
        <is>
          <t>1. Uyarılar sayfasını aç; "Şimdi Değerlendir" davranışını gözle.</t>
        </is>
      </c>
      <c r="F13" s="32" t="inlineStr">
        <is>
          <t>• Liste okunabiliyor, onayla/at yapılabiliyor; ancak manuel değerlendirme
(yalnız yöneticiye ait) bu rollerce yapılamıyor.</t>
        </is>
      </c>
      <c r="G13" s="32" t="inlineStr"/>
      <c r="H13" s="30" t="inlineStr"/>
      <c r="I13" s="33" t="inlineStr">
        <is>
          <t>Orta</t>
        </is>
      </c>
      <c r="J13" s="31" t="inlineStr"/>
      <c r="K13" s="30" t="inlineStr"/>
      <c r="L13" s="31" t="inlineStr"/>
    </row>
  </sheetData>
  <autoFilter ref="A2:L13"/>
  <mergeCells count="1">
    <mergeCell ref="A1:L1"/>
  </mergeCells>
  <conditionalFormatting sqref="H3:H13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13" showDropDown="0" showInputMessage="0" showErrorMessage="0" allowBlank="1" type="list">
      <formula1>"Geçti,Kaldı,Bloke,Uygulanamaz"</formula1>
    </dataValidation>
    <dataValidation sqref="I3:I13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07 · Ayarlar   (16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34" customHeight="1">
      <c r="A3" s="30" t="inlineStr">
        <is>
          <t>UAT-SET-01</t>
        </is>
      </c>
      <c r="B3" s="31" t="inlineStr">
        <is>
          <t>A. Erişim ve Merkez</t>
        </is>
      </c>
      <c r="C3" s="32" t="inlineStr">
        <is>
          <t>Yetkisiz erişim engeli</t>
        </is>
      </c>
      <c r="D3" s="32" t="inlineStr">
        <is>
          <t>Analist, sonra İzleyici.</t>
        </is>
      </c>
      <c r="E3" s="32" t="inlineStr">
        <is>
          <t>1. Analist ile /settings'i aç (menüde Ayarlar varsa tıkla, yoksa URL yaz).
2. Aynı şeyi İzleyici ile dene.</t>
        </is>
      </c>
      <c r="F3" s="32" t="inlineStr">
        <is>
          <t>• İkisi de "Yetkiniz yok" mesajını görüyor; ayarları değiştiremiyor.</t>
        </is>
      </c>
      <c r="G3" s="32" t="inlineStr"/>
      <c r="H3" s="30" t="inlineStr"/>
      <c r="I3" s="33" t="inlineStr">
        <is>
          <t>Kritik</t>
        </is>
      </c>
      <c r="J3" s="31" t="inlineStr"/>
      <c r="K3" s="30" t="inlineStr"/>
      <c r="L3" s="31" t="inlineStr"/>
    </row>
    <row r="4" ht="73" customHeight="1">
      <c r="A4" s="34" t="inlineStr">
        <is>
          <t>UAT-SET-02</t>
        </is>
      </c>
      <c r="B4" s="35" t="inlineStr">
        <is>
          <t>A. Erişim ve Merkez</t>
        </is>
      </c>
      <c r="C4" s="36" t="inlineStr">
        <is>
          <t>Ayarlar merkezi ve otomasyon modu</t>
        </is>
      </c>
      <c r="D4" s="36" t="inlineStr">
        <is>
          <t>Yönetici.</t>
        </is>
      </c>
      <c r="E4" s="36" t="inlineStr">
        <is>
          <t>1. /settings'i aç → başlık "Ayarlar", 9 alt-sayfa kartını gör.
2. Otomasyon modu bölümünden modu Yarı otomatik → Manuel → Tam
otomatik değiştirip kaydet.</t>
        </is>
      </c>
      <c r="F4" s="36" t="inlineStr">
        <is>
          <t>• 9 navigasyon kartı görünüyor (Şirket Profili, Gemini API Anahtarları,
Yapay Zeka Prompt'ları, Şikayet Kategorileri, SLA Kuralları, KPI
Hedefleri, İş Boyutları, Kullanıcılar, Zamanlanmış Brifingler).
• Otomasyon modu değişikliği kaydediliyor (manuel analiz davranışı buna göre
değişir — bkz. modül 05).</t>
        </is>
      </c>
      <c r="G4" s="36" t="inlineStr"/>
      <c r="H4" s="30" t="inlineStr"/>
      <c r="I4" s="37" t="inlineStr">
        <is>
          <t>Orta</t>
        </is>
      </c>
      <c r="J4" s="35" t="inlineStr"/>
      <c r="K4" s="34" t="inlineStr"/>
      <c r="L4" s="35" t="inlineStr"/>
    </row>
    <row r="5" ht="47" customHeight="1">
      <c r="A5" s="30" t="inlineStr">
        <is>
          <t>UAT-SET-03</t>
        </is>
      </c>
      <c r="B5" s="31" t="inlineStr">
        <is>
          <t>B. Şirket Profili (/settings/profile)</t>
        </is>
      </c>
      <c r="C5" s="32" t="inlineStr">
        <is>
          <t>Profil kaydetme + "Diğer" sektör doğrulaması</t>
        </is>
      </c>
      <c r="D5" s="32" t="inlineStr">
        <is>
          <t>Yönetici.</t>
        </is>
      </c>
      <c r="E5" s="32" t="inlineStr">
        <is>
          <t>1. Sektör, Şirket büyüklüğü, İş tanımı (≤ 500 karakter) alanlarını doldur.
2. Sektörü "Diğer" seç → "Sektör (serbest metin)" alanını boş bırakıp kaydet.
3. Serbest metni doldur → "Kaydet".</t>
        </is>
      </c>
      <c r="F5" s="32" t="inlineStr">
        <is>
          <t>• Sektör "Diğer" iken serbest metin zorunlu (boşken kaydetme pasif).
• Başarılı kayıt: "Profil kaydedildi."
• (Bu bilgiler SWOT/OKR üretiminde kullanılır.)</t>
        </is>
      </c>
      <c r="G5" s="32" t="inlineStr"/>
      <c r="H5" s="30" t="inlineStr"/>
      <c r="I5" s="33" t="inlineStr">
        <is>
          <t>Orta</t>
        </is>
      </c>
      <c r="J5" s="31" t="inlineStr"/>
      <c r="K5" s="30" t="inlineStr"/>
      <c r="L5" s="31" t="inlineStr"/>
    </row>
    <row r="6" ht="60" customHeight="1">
      <c r="A6" s="34" t="inlineStr">
        <is>
          <t>UAT-SET-04</t>
        </is>
      </c>
      <c r="B6" s="35" t="inlineStr">
        <is>
          <t>C. Gemini API Anahtarları (/settings/integrations)</t>
        </is>
      </c>
      <c r="C6" s="36" t="inlineStr">
        <is>
          <t>Anahtar ekleme + doğrulama</t>
        </is>
      </c>
      <c r="D6" s="36" t="inlineStr">
        <is>
          <t>Yönetici · Geçerli bir Gemini anahtarı (AIza…).</t>
        </is>
      </c>
      <c r="E6" s="36" t="inlineStr">
        <is>
          <t>1. Etiket ve API anahtarı alanlarını doldur.
2. Önce AIza ile başlamayan bir değer girip "Ekle"'yi dene.
3. Geçerli anahtarı gir → "Ekle".</t>
        </is>
      </c>
      <c r="F6" s="36" t="inlineStr">
        <is>
          <t>• Yanlış önek: "Gemini anahtarları "AIza" ile başlar."
• Geçerli anahtar: "Anahtar eklendi."; liste güncelleniyor, yalnız
"...XXXX" önizlemesi görünüyor; giriş alanı temizleniyor.
• İlk anahtar "Birincil", sonrakiler "Yedek N".</t>
        </is>
      </c>
      <c r="G6" s="36" t="inlineStr"/>
      <c r="H6" s="30" t="inlineStr"/>
      <c r="I6" s="37" t="inlineStr">
        <is>
          <t>Orta</t>
        </is>
      </c>
      <c r="J6" s="35" t="inlineStr"/>
      <c r="K6" s="34" t="inlineStr"/>
      <c r="L6" s="35" t="inlineStr"/>
    </row>
    <row r="7" ht="60" customHeight="1">
      <c r="A7" s="30" t="inlineStr">
        <is>
          <t>UAT-SET-05</t>
        </is>
      </c>
      <c r="B7" s="31" t="inlineStr">
        <is>
          <t>C. Gemini API Anahtarları (/settings/integrations)</t>
        </is>
      </c>
      <c r="C7" s="32" t="inlineStr">
        <is>
          <t>Sıralama, etiket düzenleme, aç/kapat, silme</t>
        </is>
      </c>
      <c r="D7" s="32" t="inlineStr">
        <is>
          <t>Yönetici · En az 2 anahtar.</t>
        </is>
      </c>
      <c r="E7" s="32" t="inlineStr">
        <is>
          <t>1. Tutamağı kullanarak anahtarları sürükleyip sırala.
2. Bir etikete tıklayıp inline düzenle, Enter ile kaydet.
3. Bir anahtarın aktif/pasif anahtarını değiştir.
4. Bir anahtarı sil (çöp ikonu) → onayla.</t>
        </is>
      </c>
      <c r="F7" s="32" t="inlineStr">
        <is>
          <t>• Sıralama kaydediliyor (hata olursa "Sıralama kaydedilemedi.").
• Etiket güncelleniyor; durum değişiyor.
• Silme onayı: "API anahtarı silinsin mi?" → "Anahtar silindi."</t>
        </is>
      </c>
      <c r="G7" s="32" t="inlineStr"/>
      <c r="H7" s="30" t="inlineStr"/>
      <c r="I7" s="33" t="inlineStr">
        <is>
          <t>Kritik</t>
        </is>
      </c>
      <c r="J7" s="31" t="inlineStr"/>
      <c r="K7" s="30" t="inlineStr"/>
      <c r="L7" s="31" t="inlineStr"/>
    </row>
    <row r="8" ht="47" customHeight="1">
      <c r="A8" s="34" t="inlineStr">
        <is>
          <t>UAT-SET-06</t>
        </is>
      </c>
      <c r="B8" s="35" t="inlineStr">
        <is>
          <t>D. Şikayet Kategorileri / Taksonomiler (/settings/taxonomies)</t>
        </is>
      </c>
      <c r="C8" s="36" t="inlineStr">
        <is>
          <t>Arama, filtre, sistem kategorileri</t>
        </is>
      </c>
      <c r="D8" s="36" t="inlineStr">
        <is>
          <t>Yönetici.</t>
        </is>
      </c>
      <c r="E8" s="36" t="inlineStr">
        <is>
          <t>1. Arama kutusuna bir etiket/kod yaz.
2. "Devre dışı kategorileri göster" kutusunu işaretle.</t>
        </is>
      </c>
      <c r="F8" s="36" t="inlineStr">
        <is>
          <t>• Liste aramaya göre filtreleniyor ("{n} kayıt"); eşleşme yoksa
"Eşleşen kategori yok."
• Sistem kategorileri "Sistem" rozetli; silinmez yalnız devre dışı bırakılır.</t>
        </is>
      </c>
      <c r="G8" s="36" t="inlineStr"/>
      <c r="H8" s="30" t="inlineStr"/>
      <c r="I8" s="37" t="inlineStr">
        <is>
          <t>Orta</t>
        </is>
      </c>
      <c r="J8" s="35" t="inlineStr"/>
      <c r="K8" s="34" t="inlineStr"/>
      <c r="L8" s="35" t="inlineStr"/>
    </row>
    <row r="9" ht="60" customHeight="1">
      <c r="A9" s="30" t="inlineStr">
        <is>
          <t>UAT-SET-07</t>
        </is>
      </c>
      <c r="B9" s="31" t="inlineStr">
        <is>
          <t>D. Şikayet Kategorileri / Taksonomiler (/settings/taxonomies)</t>
        </is>
      </c>
      <c r="C9" s="32" t="inlineStr">
        <is>
          <t>Özel kategori ekleme (kod doğrulaması)</t>
        </is>
      </c>
      <c r="D9" s="32" t="inlineStr">
        <is>
          <t>Yönetici.</t>
        </is>
      </c>
      <c r="E9" s="32" t="inlineStr">
        <is>
          <t>1. "Kategori ekle" → modal.
2. Kod alanına geçersiz bir değer yaz (örn. büyük harf/boşluk) → dene.
3. Var olan bir kodu tekrar gir → dene.
4. Geçerli kod (vip_sikayet) + Etiket + birkaç anahtar kelime → "Ekle".</t>
        </is>
      </c>
      <c r="F9" s="32" t="inlineStr">
        <is>
          <t>• Geçersiz kod: "Kod snake_case olmalı (lowercase + rakam + alt çizgi)."
• Tekrar eden kod: "Bu kod zaten kullanılıyor."
• Anahtar kelime kuralları (≤ 64 karakter, ≤ 50 adet) uyarı veriyor.
• Başarılı: "Kategori eklendi."</t>
        </is>
      </c>
      <c r="G9" s="32" t="inlineStr"/>
      <c r="H9" s="30" t="inlineStr"/>
      <c r="I9" s="33" t="inlineStr">
        <is>
          <t>Orta</t>
        </is>
      </c>
      <c r="J9" s="31" t="inlineStr"/>
      <c r="K9" s="30" t="inlineStr"/>
      <c r="L9" s="31" t="inlineStr"/>
    </row>
    <row r="10" ht="34" customHeight="1">
      <c r="A10" s="34" t="inlineStr">
        <is>
          <t>UAT-SET-08</t>
        </is>
      </c>
      <c r="B10" s="35" t="inlineStr">
        <is>
          <t>D. Şikayet Kategorileri / Taksonomiler (/settings/taxonomies)</t>
        </is>
      </c>
      <c r="C10" s="36" t="inlineStr">
        <is>
          <t>Kategori düzenleme + devre dışı + geri yükleme</t>
        </is>
      </c>
      <c r="D10" s="36" t="inlineStr">
        <is>
          <t>Yönetici · En az bir özel kategori.</t>
        </is>
      </c>
      <c r="E10" s="36" t="inlineStr">
        <is>
          <t>1. Bir kategoriye tıkla → Etiket/anahtar kelime düzenle → "Kaydet".
2. "Devre dışı bırak" → sonra "Devre dışı göster" ile bul → "Geri yükle".</t>
        </is>
      </c>
      <c r="F10" s="36" t="inlineStr">
        <is>
          <t>• Güncelleme: "Kategori güncellendi."
• Devre dışı: "Kategori devre dışı bırakıldı." → Geri yükle: "Kategori geri yüklendi."</t>
        </is>
      </c>
      <c r="G10" s="36" t="inlineStr"/>
      <c r="H10" s="30" t="inlineStr"/>
      <c r="I10" s="37" t="inlineStr">
        <is>
          <t>Orta</t>
        </is>
      </c>
      <c r="J10" s="35" t="inlineStr"/>
      <c r="K10" s="34" t="inlineStr"/>
      <c r="L10" s="35" t="inlineStr"/>
    </row>
    <row r="11" ht="60" customHeight="1">
      <c r="A11" s="30" t="inlineStr">
        <is>
          <t>UAT-SET-09</t>
        </is>
      </c>
      <c r="B11" s="31" t="inlineStr">
        <is>
          <t>E. KPI Hedefleri (/settings/kpi-goals)</t>
        </is>
      </c>
      <c r="C11" s="32" t="inlineStr">
        <is>
          <t>Hedef ekleme ve doğrulamalar</t>
        </is>
      </c>
      <c r="D11" s="32" t="inlineStr">
        <is>
          <t>Yönetici.</t>
        </is>
      </c>
      <c r="E11" s="32" t="inlineStr">
        <is>
          <t>1. Metric seçmeden "Hedef ekle"'yi dene.
2. Hedef değere sayı olmayan değer gir → dene.
3. Geçerli: Metric + Hedef değer + Dönem + Başlangıç/Bitiş → "Hedef ekle".
4. Aynı metrik + dönem için ikinci kez eklemeyi dene.</t>
        </is>
      </c>
      <c r="F11" s="32" t="inlineStr">
        <is>
          <t>• Metric yok: "Metric seçin."; sayı değil: "Hedef sayı olmalı."
• Başarılı: "Hedef eklendi."; tekrar: "Aynı metrik + dönem için hedef
zaten var."</t>
        </is>
      </c>
      <c r="G11" s="32" t="inlineStr"/>
      <c r="H11" s="30" t="inlineStr"/>
      <c r="I11" s="33" t="inlineStr">
        <is>
          <t>Orta</t>
        </is>
      </c>
      <c r="J11" s="31" t="inlineStr"/>
      <c r="K11" s="30" t="inlineStr"/>
      <c r="L11" s="31" t="inlineStr"/>
    </row>
    <row r="12" ht="26" customHeight="1">
      <c r="A12" s="34" t="inlineStr">
        <is>
          <t>UAT-SET-10</t>
        </is>
      </c>
      <c r="B12" s="35" t="inlineStr">
        <is>
          <t>E. KPI Hedefleri (/settings/kpi-goals)</t>
        </is>
      </c>
      <c r="C12" s="36" t="inlineStr">
        <is>
          <t>Hedef silme</t>
        </is>
      </c>
      <c r="D12" s="36" t="inlineStr">
        <is>
          <t>Yönetici · Bir KPI hedefi.</t>
        </is>
      </c>
      <c r="E12" s="36" t="inlineStr">
        <is>
          <t>1. Bir hedefin çöp ikonuna bas → onayla.</t>
        </is>
      </c>
      <c r="F12" s="36" t="inlineStr">
        <is>
          <t>• Onay sorusu → "Hedef silindi."</t>
        </is>
      </c>
      <c r="G12" s="36" t="inlineStr"/>
      <c r="H12" s="30" t="inlineStr"/>
      <c r="I12" s="37" t="inlineStr">
        <is>
          <t>Kritik</t>
        </is>
      </c>
      <c r="J12" s="35" t="inlineStr"/>
      <c r="K12" s="34" t="inlineStr"/>
      <c r="L12" s="35" t="inlineStr"/>
    </row>
    <row r="13" ht="73" customHeight="1">
      <c r="A13" s="30" t="inlineStr">
        <is>
          <t>UAT-SET-11</t>
        </is>
      </c>
      <c r="B13" s="31" t="inlineStr">
        <is>
          <t>F. Zamanlanmış Brifingler (/settings/scheduled-briefings)</t>
        </is>
      </c>
      <c r="C13" s="32" t="inlineStr">
        <is>
          <t>Plan oluşturma + yönetme</t>
        </is>
      </c>
      <c r="D13" s="32" t="inlineStr">
        <is>
          <t>Yönetici.</t>
        </is>
      </c>
      <c r="E13" s="32" t="inlineStr">
        <is>
          <t>1. Periyot (Aylık/Haftalık), Gün, Saat (0–23), opsiyonel
e-posta alıcıları ile "Plan ekle".
2. Listede planı Duraklat/Etkinleştir yap.
3. "Şimdi gönder" ile manuel tetikle.
4. "Sil" ile planı kaldır (onayla).</t>
        </is>
      </c>
      <c r="F13" s="32" t="inlineStr">
        <is>
          <t>• Ekleme: "Plan eklendi."
• Duraklat/Etkinleştir bildirimleri doğru; "Şimdi gönder" sonrası
"Brifing üretildi." ya da "Brifing üretilemedi: …".
• Silme onayı → "Plan silindi."
• Boşken: "Henüz scheduled briefing yok."</t>
        </is>
      </c>
      <c r="G13" s="32" t="inlineStr"/>
      <c r="H13" s="30" t="inlineStr"/>
      <c r="I13" s="33" t="inlineStr">
        <is>
          <t>Kritik</t>
        </is>
      </c>
      <c r="J13" s="31" t="inlineStr"/>
      <c r="K13" s="30" t="inlineStr"/>
      <c r="L13" s="31" t="inlineStr"/>
    </row>
    <row r="14" ht="60" customHeight="1">
      <c r="A14" s="34" t="inlineStr">
        <is>
          <t>UAT-SET-12</t>
        </is>
      </c>
      <c r="B14" s="35" t="inlineStr">
        <is>
          <t>G. Kullanıcılar (/settings/users)</t>
        </is>
      </c>
      <c r="C14" s="36" t="inlineStr">
        <is>
          <t>Üyeler + davet gönderme (tek seferlik link)</t>
        </is>
      </c>
      <c r="D14" s="36" t="inlineStr">
        <is>
          <t>Yönetici.</t>
        </is>
      </c>
      <c r="E14" s="36" t="inlineStr">
        <is>
          <t>1. "Mevcut üyeler" listesini ve rollerini doğrula.
2. "Yeni davet gönder": e-posta + rol seç → "Davet et".
3. Çıkan tek-seferlik linki "Kopyala" ile al.
4. Aynı e-postaya ikinci davet göndermeyi dene.</t>
        </is>
      </c>
      <c r="F14" s="36" t="inlineStr">
        <is>
          <t>• Davet sonrası yeşil kutuda link + uyarı "…kapatınca bir daha
gösterilmez."; kopyalayınca "Kopyalandı."
• E-posta boşsa: "E-posta zorunlu."; tekrar davet: "Bu e-posta için
açık davet zaten var."</t>
        </is>
      </c>
      <c r="G14" s="36" t="inlineStr"/>
      <c r="H14" s="30" t="inlineStr"/>
      <c r="I14" s="37" t="inlineStr">
        <is>
          <t>Orta</t>
        </is>
      </c>
      <c r="J14" s="35" t="inlineStr"/>
      <c r="K14" s="34" t="inlineStr"/>
      <c r="L14" s="35" t="inlineStr"/>
    </row>
    <row r="15" ht="34" customHeight="1">
      <c r="A15" s="30" t="inlineStr">
        <is>
          <t>UAT-SET-13</t>
        </is>
      </c>
      <c r="B15" s="31" t="inlineStr">
        <is>
          <t>G. Kullanıcılar (/settings/users)</t>
        </is>
      </c>
      <c r="C15" s="32" t="inlineStr">
        <is>
          <t>Bekleyen daveti iptal etme</t>
        </is>
      </c>
      <c r="D15" s="32" t="inlineStr">
        <is>
          <t>Yönetici · En az bir bekleyen davet.</t>
        </is>
      </c>
      <c r="E15" s="32" t="inlineStr">
        <is>
          <t>1. "Bekleyen davetler" altında bir davette "İptal" → onayla.</t>
        </is>
      </c>
      <c r="F15" s="32" t="inlineStr">
        <is>
          <t>• Onay sorusu → "Davet iptal edildi."
• Boşken: "Bekleyen davet yok."</t>
        </is>
      </c>
      <c r="G15" s="32" t="inlineStr"/>
      <c r="H15" s="30" t="inlineStr"/>
      <c r="I15" s="33" t="inlineStr">
        <is>
          <t>Orta</t>
        </is>
      </c>
      <c r="J15" s="31" t="inlineStr"/>
      <c r="K15" s="30" t="inlineStr"/>
      <c r="L15" s="31" t="inlineStr"/>
    </row>
    <row r="16" ht="47" customHeight="1">
      <c r="A16" s="34" t="inlineStr">
        <is>
          <t>UAT-SET-14</t>
        </is>
      </c>
      <c r="B16" s="35" t="inlineStr">
        <is>
          <t>H. SLA Kuralları (/settings/sla-rules)</t>
        </is>
      </c>
      <c r="C16" s="36" t="inlineStr">
        <is>
          <t>SLA kuralı oluşturma (eşik doğrulaması)</t>
        </is>
      </c>
      <c r="D16" s="36" t="inlineStr">
        <is>
          <t>Yönetici.</t>
        </is>
      </c>
      <c r="E16" s="36" t="inlineStr">
        <is>
          <t>1. "Kural ekle" → İsim ver, ama yanıt ve çözüm süresini boş bırak → "Ekle".
2. NPS eşiğine 11 gir → dene.
3. Geçerli: isim + en az bir süre (örn. yanıt 120 dk) + aksiyon → "Ekle".</t>
        </is>
      </c>
      <c r="F16" s="36" t="inlineStr">
        <is>
          <t>• Süre yoksa: "Yanıt veya çözüm süresinden en az birini girin."
• NPS 11: "NPS eşiği 0 ile 10 arası olmalı."
• Başarılı: "Kural eklendi."</t>
        </is>
      </c>
      <c r="G16" s="36" t="inlineStr"/>
      <c r="H16" s="30" t="inlineStr"/>
      <c r="I16" s="37" t="inlineStr">
        <is>
          <t>Orta</t>
        </is>
      </c>
      <c r="J16" s="35" t="inlineStr"/>
      <c r="K16" s="34" t="inlineStr"/>
      <c r="L16" s="35" t="inlineStr"/>
    </row>
    <row r="17" ht="47" customHeight="1">
      <c r="A17" s="30" t="inlineStr">
        <is>
          <t>UAT-SET-15</t>
        </is>
      </c>
      <c r="B17" s="31" t="inlineStr">
        <is>
          <t>H. SLA Kuralları (/settings/sla-rules)</t>
        </is>
      </c>
      <c r="C17" s="32" t="inlineStr">
        <is>
          <t>Webhook gönderim modu (Otomatik ↔ Manuel)</t>
        </is>
      </c>
      <c r="D17" s="32" t="inlineStr">
        <is>
          <t>Yönetici.</t>
        </is>
      </c>
      <c r="E17" s="32" t="inlineStr">
        <is>
          <t>1. "SLA webhook gönderim modu" kartında "Manuel'e geç"'e bas →
onay penceresini oku → onayla.
2. Sonra "Otomatik'e geri dön".</t>
        </is>
      </c>
      <c r="F17" s="32" t="inlineStr">
        <is>
          <t>• Manuel onayı: "Manuel moda geç?" açıklamasıyla; geçince rozet
"Manuel" oluyor (webhook'lar Bekleyen Bildirimler'de bekler — modül 08).
• Geri dönünce rozet "Otomatik".</t>
        </is>
      </c>
      <c r="G17" s="32" t="inlineStr"/>
      <c r="H17" s="30" t="inlineStr"/>
      <c r="I17" s="33" t="inlineStr">
        <is>
          <t>Orta</t>
        </is>
      </c>
      <c r="J17" s="31" t="inlineStr"/>
      <c r="K17" s="30" t="inlineStr"/>
      <c r="L17" s="31" t="inlineStr"/>
    </row>
    <row r="18" ht="60" customHeight="1">
      <c r="A18" s="34" t="inlineStr">
        <is>
          <t>UAT-SET-16</t>
        </is>
      </c>
      <c r="B18" s="35" t="inlineStr">
        <is>
          <t>I. İş Boyutları (/settings/business-dimensions)</t>
        </is>
      </c>
      <c r="C18" s="36" t="inlineStr">
        <is>
          <t>Boyut yapılandırma</t>
        </is>
      </c>
      <c r="D18" s="36" t="inlineStr">
        <is>
          <t>Yönetici.</t>
        </is>
      </c>
      <c r="E18" s="36" t="inlineStr">
        <is>
          <t>1. Bir boyut kartında (Müşteri Segmenti / Ürün Grubu / Kanal / Müşteri
Kademesi) Görünen ad, CSV kolon eşleşmesi, İzin verilen
değerler doldur, "Aktif" işaretle → "Kaydet".
2. Sonra "Sil" ile yapılandırmayı kaldır (onayla).</t>
        </is>
      </c>
      <c r="F18" s="36" t="inlineStr">
        <is>
          <t>• Kaydetme: "Boyut kaydedildi."; silme onayı → "Silindi."</t>
        </is>
      </c>
      <c r="G18" s="36" t="inlineStr"/>
      <c r="H18" s="30" t="inlineStr"/>
      <c r="I18" s="37" t="inlineStr">
        <is>
          <t>Kritik</t>
        </is>
      </c>
      <c r="J18" s="35" t="inlineStr"/>
      <c r="K18" s="34" t="inlineStr"/>
      <c r="L18" s="35" t="inlineStr"/>
    </row>
  </sheetData>
  <autoFilter ref="A2:L18"/>
  <mergeCells count="1">
    <mergeCell ref="A1:L1"/>
  </mergeCells>
  <conditionalFormatting sqref="H3:H18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18" showDropDown="0" showInputMessage="0" showErrorMessage="0" allowBlank="1" type="list">
      <formula1>"Geçti,Kaldı,Bloke,Uygulanamaz"</formula1>
    </dataValidation>
    <dataValidation sqref="I3:I18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08 · Yönetim / Admin   (12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73" customHeight="1">
      <c r="A3" s="30" t="inlineStr">
        <is>
          <t>UAT-ADM-01</t>
        </is>
      </c>
      <c r="B3" s="31" t="inlineStr">
        <is>
          <t>A. Erişim kontrolü</t>
        </is>
      </c>
      <c r="C3" s="32" t="inlineStr">
        <is>
          <t>"Yönetim" menüsü yalnız süper-yöneticide</t>
        </is>
      </c>
      <c r="D3" s="32" t="inlineStr">
        <is>
          <t>Sırasıyla Süper-yönetici, Yönetici, Analist.</t>
        </is>
      </c>
      <c r="E3" s="32" t="inlineStr">
        <is>
          <t>1. Süper-yönetici ile giriş yap → sol menüde "Yönetim" başlığı + altında
Kurumlar / LLM Denetimi / Karar Geçmişi / Prompt Şablonları / Bekleyen
Bildirimler.
2. Yönetici ve Analist ile giriş yap → menüye bak.
3. Analist ile doğrudan /admin/tenants URL'sini yaz.</t>
        </is>
      </c>
      <c r="F3" s="32" t="inlineStr">
        <is>
          <t>• Yönetim bölümü yalnız süper-yöneticide görünüyor.
• Yönetici/Analist menüde bu bölümü hiç görmüyor.
• Doğrudan URL → "Yetkiniz yok" mesajı.</t>
        </is>
      </c>
      <c r="G3" s="32" t="inlineStr"/>
      <c r="H3" s="30" t="inlineStr"/>
      <c r="I3" s="33" t="inlineStr">
        <is>
          <t>Kritik</t>
        </is>
      </c>
      <c r="J3" s="31" t="inlineStr"/>
      <c r="K3" s="30" t="inlineStr"/>
      <c r="L3" s="31" t="inlineStr"/>
    </row>
    <row r="4" ht="73" customHeight="1">
      <c r="A4" s="34" t="inlineStr">
        <is>
          <t>UAT-ADM-02</t>
        </is>
      </c>
      <c r="B4" s="35" t="inlineStr">
        <is>
          <t>B. Kurumlar (/admin/tenants)</t>
        </is>
      </c>
      <c r="C4" s="36" t="inlineStr">
        <is>
          <t>Kurum listesi</t>
        </is>
      </c>
      <c r="D4" s="36" t="inlineStr">
        <is>
          <t>Süper-yönetici.</t>
        </is>
      </c>
      <c r="E4" s="36" t="inlineStr">
        <is>
          <t>1. Yönetim → Kurumlar'ı aç.</t>
        </is>
      </c>
      <c r="F4" s="36" t="inlineStr">
        <is>
          <t>• Başlık "Kurumlar", alt başlık "Süper-yönetici görünümü. Kurum
oluştur, düzenle, davet gönder veya soft-delete."
• Tablo: İsim, Slug, Plan, Otomasyon, Oluşturuldu + satır aksiyonları
(Düzenle / Davet / Sil).
• Hiç kurum yoksa: "Henüz kurum yok" + "+ Yeni Kurum".</t>
        </is>
      </c>
      <c r="G4" s="36" t="inlineStr"/>
      <c r="H4" s="30" t="inlineStr"/>
      <c r="I4" s="37" t="inlineStr">
        <is>
          <t>Yüksek</t>
        </is>
      </c>
      <c r="J4" s="35" t="inlineStr"/>
      <c r="K4" s="34" t="inlineStr"/>
      <c r="L4" s="35" t="inlineStr"/>
    </row>
    <row r="5" ht="73" customHeight="1">
      <c r="A5" s="30" t="inlineStr">
        <is>
          <t>UAT-ADM-03</t>
        </is>
      </c>
      <c r="B5" s="31" t="inlineStr">
        <is>
          <t>B. Kurumlar (/admin/tenants)</t>
        </is>
      </c>
      <c r="C5" s="32" t="inlineStr">
        <is>
          <t>Yeni kurum oluşturma + ilk admin daveti (tek seferlik link)</t>
        </is>
      </c>
      <c r="D5" s="32" t="inlineStr">
        <is>
          <t>Süper-yönetici.</t>
        </is>
      </c>
      <c r="E5" s="32" t="inlineStr">
        <is>
          <t>1. "+ Yeni Kurum" → İsim yaz (Slug otomatik üretilir).
2. Slug'a geçersiz karakter (büyük harf/boşluk) gir → uyarıyı gözle.
3. Plan + Otomasyon seç; "İlk admin daveti gönder"'i aç → e-posta + tam ad gir.
4. "Oluştur".
5. Çıkan davet linkini "Kopyala" ile al → "Tamam, paylaştım".</t>
        </is>
      </c>
      <c r="F5" s="32" t="inlineStr">
        <is>
          <t>• Slug yalnız küçük harf/rakam/tire kabul ediyor; geçersizde uyarı.
• Başarıda yeşil onay: "{kurum} oluşturuldu" + "İlk admin için davet
linki hazır. Bu link sadece tek sefer gösterilir…" + link + Kopyala.
• Tabloda yeni kurum satırı görünüyor.
• Aynı slug tekrar: "Bu slug zaten kullanılıyor."</t>
        </is>
      </c>
      <c r="G5" s="32" t="inlineStr"/>
      <c r="H5" s="30" t="inlineStr"/>
      <c r="I5" s="33" t="inlineStr">
        <is>
          <t>Yüksek</t>
        </is>
      </c>
      <c r="J5" s="31" t="inlineStr"/>
      <c r="K5" s="30" t="inlineStr"/>
      <c r="L5" s="31" t="inlineStr"/>
    </row>
    <row r="6" ht="47" customHeight="1">
      <c r="A6" s="34" t="inlineStr">
        <is>
          <t>UAT-ADM-04</t>
        </is>
      </c>
      <c r="B6" s="35" t="inlineStr">
        <is>
          <t>B. Kurumlar (/admin/tenants)</t>
        </is>
      </c>
      <c r="C6" s="36" t="inlineStr">
        <is>
          <t>Kurum düzenleme (slug değişmez)</t>
        </is>
      </c>
      <c r="D6" s="36" t="inlineStr">
        <is>
          <t>Süper-yönetici · Bir kurum.</t>
        </is>
      </c>
      <c r="E6" s="36" t="inlineStr">
        <is>
          <t>1. Bir satırda "Düzenle" → İsim/Plan/Otomasyon değiştir.
2. Slug alanını değiştirmeyi dene.
3. "Kaydet".</t>
        </is>
      </c>
      <c r="F6" s="36" t="inlineStr">
        <is>
          <t>• Slug "Slug (değişmez)" olarak pasif.
• Kayıt: "Kurum güncellendi."</t>
        </is>
      </c>
      <c r="G6" s="36" t="inlineStr"/>
      <c r="H6" s="30" t="inlineStr"/>
      <c r="I6" s="37" t="inlineStr">
        <is>
          <t>Yüksek</t>
        </is>
      </c>
      <c r="J6" s="35" t="inlineStr"/>
      <c r="K6" s="34" t="inlineStr"/>
      <c r="L6" s="35" t="inlineStr"/>
    </row>
    <row r="7" ht="34" customHeight="1">
      <c r="A7" s="30" t="inlineStr">
        <is>
          <t>UAT-ADM-05</t>
        </is>
      </c>
      <c r="B7" s="31" t="inlineStr">
        <is>
          <t>B. Kurumlar (/admin/tenants)</t>
        </is>
      </c>
      <c r="C7" s="32" t="inlineStr">
        <is>
          <t>Kuruma davet gönderme</t>
        </is>
      </c>
      <c r="D7" s="32" t="inlineStr">
        <is>
          <t>Süper-yönetici · Bir kurum.</t>
        </is>
      </c>
      <c r="E7" s="32" t="inlineStr">
        <is>
          <t>1. Bir satırda "Davet" → e-posta + rol seç → "Davet oluştur".
2. Çıkan linki kopyala.</t>
        </is>
      </c>
      <c r="F7" s="32" t="inlineStr">
        <is>
          <t>• "Davet hazır" + tek-seferlik link + Kopyala.
• Aynı e-postaya açık davet varsa: "Bu e-posta için zaten açık davet var."</t>
        </is>
      </c>
      <c r="G7" s="32" t="inlineStr"/>
      <c r="H7" s="30" t="inlineStr"/>
      <c r="I7" s="33" t="inlineStr">
        <is>
          <t>Yüksek</t>
        </is>
      </c>
      <c r="J7" s="31" t="inlineStr"/>
      <c r="K7" s="30" t="inlineStr"/>
      <c r="L7" s="31" t="inlineStr"/>
    </row>
    <row r="8" ht="60" customHeight="1">
      <c r="A8" s="34" t="inlineStr">
        <is>
          <t>UAT-ADM-06</t>
        </is>
      </c>
      <c r="B8" s="35" t="inlineStr">
        <is>
          <t>B. Kurumlar (/admin/tenants)</t>
        </is>
      </c>
      <c r="C8" s="36" t="inlineStr">
        <is>
          <t>Kurum silme (soft-delete)</t>
        </is>
      </c>
      <c r="D8" s="36" t="inlineStr">
        <is>
          <t>Süper-yönetici · Silinebilecek bir test kurumu.</t>
        </is>
      </c>
      <c r="E8" s="36" t="inlineStr">
        <is>
          <t>1. Bir test kurumunda "Sil" → uyarı penceresini oku → "Sil".</t>
        </is>
      </c>
      <c r="F8" s="36" t="inlineStr">
        <is>
          <t>• Uyarı: "…Tüm verisi soft-delete edilir; gerekirse veritabanı seviyesinde
geri yüklenebilir. Aktif kullanıcılar artık bu kurumu göremez."
• Onayda: "Kurum silindi" + "{kurum} arşivlendi (soft-delete)."
• Kurum listeden kalkıyor; kullanıcılar kurum seçicide artık göremiyor.</t>
        </is>
      </c>
      <c r="G8" s="36" t="inlineStr"/>
      <c r="H8" s="30" t="inlineStr"/>
      <c r="I8" s="37" t="inlineStr">
        <is>
          <t>Kritik</t>
        </is>
      </c>
      <c r="J8" s="35" t="inlineStr"/>
      <c r="K8" s="34" t="inlineStr"/>
      <c r="L8" s="35" t="inlineStr"/>
    </row>
    <row r="9" ht="73" customHeight="1">
      <c r="A9" s="30" t="inlineStr">
        <is>
          <t>UAT-ADM-07</t>
        </is>
      </c>
      <c r="B9" s="31" t="inlineStr">
        <is>
          <t>C. LLM Denetimi (/admin/llm-audit)</t>
        </is>
      </c>
      <c r="C9" s="32" t="inlineStr">
        <is>
          <t>LLM çağrı denetim listesi</t>
        </is>
      </c>
      <c r="D9" s="32" t="inlineStr">
        <is>
          <t>Süper-yönetici · Daha önce LLM çağrısı yapılmış (SWOT/brifing vb.).</t>
        </is>
      </c>
      <c r="E9" s="32" t="inlineStr">
        <is>
          <t>1. Yönetim → LLM Denetimi'ni aç.
2. Tür ve sonuç (başarılı/hata) filtrelerini değiştir.
3. Bir satırı genişlet (detay).</t>
        </is>
      </c>
      <c r="F9" s="32" t="inlineStr">
        <is>
          <t>• Başlık "LLM Çağrı Denetimi".
• 3 özet kart: son 30 gün toplam çağrı, hata sayısı, toplam token.
• Filtreler URL'ye yansıyor; "{n} kayıt" sayacı doğru.
• Satır detayında prompt hash, sağlayıcı, token (giriş/çıkış), hata mesajı (varsa).
• Boşsa "Kayıt yok."</t>
        </is>
      </c>
      <c r="G9" s="32" t="inlineStr"/>
      <c r="H9" s="30" t="inlineStr"/>
      <c r="I9" s="33" t="inlineStr">
        <is>
          <t>Yüksek</t>
        </is>
      </c>
      <c r="J9" s="31" t="inlineStr"/>
      <c r="K9" s="30" t="inlineStr"/>
      <c r="L9" s="31" t="inlineStr"/>
    </row>
    <row r="10" ht="60" customHeight="1">
      <c r="A10" s="34" t="inlineStr">
        <is>
          <t>UAT-ADM-08</t>
        </is>
      </c>
      <c r="B10" s="35" t="inlineStr">
        <is>
          <t>D. Karar Geçmişi (/admin/decision-audit)</t>
        </is>
      </c>
      <c r="C10" s="36" t="inlineStr">
        <is>
          <t>Karar geçmişi listesi ve filtre</t>
        </is>
      </c>
      <c r="D10" s="36" t="inlineStr">
        <is>
          <t>Süper-yönetici · Bazı kararlar alınmış (onay/red/atama/hedef).</t>
        </is>
      </c>
      <c r="E10" s="36" t="inlineStr">
        <is>
          <t>1. Yönetim → Karar Geçmişi'ni aç.
2. Karar tipi filtresini değiştir.
3. Bir satırı genişlet.</t>
        </is>
      </c>
      <c r="F10" s="36" t="inlineStr">
        <is>
          <t>• Başlık "Karar Geçmişi".
• Karar tipleri Türkçe etiketli (örn. "Yönetici özeti onaylandı", "KPI
hedefi konuldu").
• Detayda gerekçe + payload (varsa). Boşsa "Kayıt yok."</t>
        </is>
      </c>
      <c r="G10" s="36" t="inlineStr"/>
      <c r="H10" s="30" t="inlineStr"/>
      <c r="I10" s="37" t="inlineStr">
        <is>
          <t>Yüksek</t>
        </is>
      </c>
      <c r="J10" s="35" t="inlineStr"/>
      <c r="K10" s="34" t="inlineStr"/>
      <c r="L10" s="35" t="inlineStr"/>
    </row>
    <row r="11" ht="60" customHeight="1">
      <c r="A11" s="30" t="inlineStr">
        <is>
          <t>UAT-ADM-09</t>
        </is>
      </c>
      <c r="B11" s="31" t="inlineStr">
        <is>
          <t>E. Prompt Şablonları (/admin/prompt-templates)</t>
        </is>
      </c>
      <c r="C11" s="32" t="inlineStr">
        <is>
          <t>Şablon görüntüleme + kuruma özel oluşturma</t>
        </is>
      </c>
      <c r="D11" s="32" t="inlineStr">
        <is>
          <t>Süper-yönetici.</t>
        </is>
      </c>
      <c r="E11" s="32" t="inlineStr">
        <is>
          <t>1. Yönetim → Prompt Şablonları'nı aç.
2. Soldan bir şablon seç (örn. "SWOT Analizi").
3. Sistem istemi / Kullanıcı istem şablonu alanını düzenle.
4. "Kuruma özel oluştur" (varsayılansa) veya "Özelleştirmeyi güncelle".</t>
        </is>
      </c>
      <c r="F11" s="32" t="inlineStr">
        <is>
          <t>• Başlık "Prompt Şablonları".
• Şablonlar "varsayılan" / "özel" rozetli.
• Kaydetme: "Kuruma özel şablon oluşturuldu." / "Özelleştirme güncellendi."</t>
        </is>
      </c>
      <c r="G11" s="32" t="inlineStr"/>
      <c r="H11" s="30" t="inlineStr"/>
      <c r="I11" s="33" t="inlineStr">
        <is>
          <t>Yüksek</t>
        </is>
      </c>
      <c r="J11" s="31" t="inlineStr"/>
      <c r="K11" s="30" t="inlineStr"/>
      <c r="L11" s="31" t="inlineStr"/>
    </row>
    <row r="12" ht="60" customHeight="1">
      <c r="A12" s="34" t="inlineStr">
        <is>
          <t>UAT-ADM-10</t>
        </is>
      </c>
      <c r="B12" s="35" t="inlineStr">
        <is>
          <t>E. Prompt Şablonları (/admin/prompt-templates)</t>
        </is>
      </c>
      <c r="C12" s="36" t="inlineStr">
        <is>
          <t>Test çalıştırması ve özelleştirme silme</t>
        </is>
      </c>
      <c r="D12" s="36" t="inlineStr">
        <is>
          <t>Süper-yönetici · Kuruma özel bir şablon.</t>
        </is>
      </c>
      <c r="E12" s="36" t="inlineStr">
        <is>
          <t>1. "Test çalıştırması" bölümünde Variables (JSON) gir →
geçersiz JSON ile "Test et"'i dene; sonra geçerli JSON ile dene.
2. "Özelleştirmeyi sil" → onay popup'ını onayla.</t>
        </is>
      </c>
      <c r="F12" s="36" t="inlineStr">
        <is>
          <t>• Geçersiz JSON: "Variables JSON parse edilemedi."
• Geçerli: "Test başarılı (…)." + render çıktısı görünür.
• Silme onayı "Özelleştirme silinsin? Kurum varsayılana döner." →
"Özelleştirme silindi."</t>
        </is>
      </c>
      <c r="G12" s="36" t="inlineStr"/>
      <c r="H12" s="30" t="inlineStr"/>
      <c r="I12" s="37" t="inlineStr">
        <is>
          <t>Kritik</t>
        </is>
      </c>
      <c r="J12" s="35" t="inlineStr"/>
      <c r="K12" s="34" t="inlineStr"/>
      <c r="L12" s="35" t="inlineStr"/>
    </row>
    <row r="13" ht="73" customHeight="1">
      <c r="A13" s="30" t="inlineStr">
        <is>
          <t>UAT-ADM-11</t>
        </is>
      </c>
      <c r="B13" s="31" t="inlineStr">
        <is>
          <t>F. Bekleyen Bildirimler (/pending-webhooks)</t>
        </is>
      </c>
      <c r="C13" s="32" t="inlineStr">
        <is>
          <t>Bekleyen bildirim kuyruğu</t>
        </is>
      </c>
      <c r="D13" s="32" t="inlineStr">
        <is>
          <t>Süper-yönetici · SLA modu Manuel ve en az bir SLA ihlali oluşmuş.</t>
        </is>
      </c>
      <c r="E13" s="32" t="inlineStr">
        <is>
          <t>1. Yönetim → Bekleyen Bildirimler'i aç.
2. Sekmeler arasında geç: Bekleyen / Gönderildi / Başarısız / İptal / Hepsi.</t>
        </is>
      </c>
      <c r="F13" s="32" t="inlineStr">
        <is>
          <t>• Başlık "Bekleyen Bildirimler", alt başlık "Manuel modda tetiklenen
SLA bildirimleri. Buradan onay vererek Slack/Teams kanallarına gönder
veya iptal et."
• Her satır: kural adı, hedef (Slack/Teams), durum rozeti, tarih.
• Boşken (Bekleyen): "Bekleyen webhook yok. SLA breach olduğunda burada görünecek."</t>
        </is>
      </c>
      <c r="G13" s="32" t="inlineStr"/>
      <c r="H13" s="30" t="inlineStr"/>
      <c r="I13" s="33" t="inlineStr">
        <is>
          <t>Yüksek</t>
        </is>
      </c>
      <c r="J13" s="31" t="inlineStr"/>
      <c r="K13" s="30" t="inlineStr"/>
      <c r="L13" s="31" t="inlineStr"/>
    </row>
    <row r="14" ht="47" customHeight="1">
      <c r="A14" s="34" t="inlineStr">
        <is>
          <t>UAT-ADM-12</t>
        </is>
      </c>
      <c r="B14" s="35" t="inlineStr">
        <is>
          <t>F. Bekleyen Bildirimler (/pending-webhooks)</t>
        </is>
      </c>
      <c r="C14" s="36" t="inlineStr">
        <is>
          <t>Bildirim gönderme / iptal</t>
        </is>
      </c>
      <c r="D14" s="36" t="inlineStr">
        <is>
          <t>Süper-yönetici · Bekleyen bir bildirim.</t>
        </is>
      </c>
      <c r="E14" s="36" t="inlineStr">
        <is>
          <t>1. Bekleyen bir satırda "Gönder"'e bas.
2. Başka bir bekleyende "İptal"'e bas.</t>
        </is>
      </c>
      <c r="F14" s="36" t="inlineStr">
        <is>
          <t>• Gönder → "Bildirim gönderildi." (durum "Gönderildi"); hata olursa
"Gönderim başarısız."
• İptal → "İptal edildi."</t>
        </is>
      </c>
      <c r="G14" s="36" t="inlineStr"/>
      <c r="H14" s="30" t="inlineStr"/>
      <c r="I14" s="37" t="inlineStr">
        <is>
          <t>Yüksek</t>
        </is>
      </c>
      <c r="J14" s="35" t="inlineStr"/>
      <c r="K14" s="34" t="inlineStr"/>
      <c r="L14" s="35" t="inlineStr"/>
    </row>
  </sheetData>
  <autoFilter ref="A2:L14"/>
  <mergeCells count="1">
    <mergeCell ref="A1:L1"/>
  </mergeCells>
  <conditionalFormatting sqref="H3:H14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14" showDropDown="0" showInputMessage="0" showErrorMessage="0" allowBlank="1" type="list">
      <formula1>"Geçti,Kaldı,Bloke,Uygulanamaz"</formula1>
    </dataValidation>
    <dataValidation sqref="I3:I14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09 · Roller &amp; Yetkiler (RBAC)   (6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216" customHeight="1">
      <c r="A3" s="30" t="inlineStr">
        <is>
          <t>UAT-RBAC-01</t>
        </is>
      </c>
      <c r="B3" s="31" t="inlineStr">
        <is>
          <t>A. Sayfa erişimi</t>
        </is>
      </c>
      <c r="C3" s="32" t="inlineStr">
        <is>
          <t>Menü ve sayfa görünürlüğü</t>
        </is>
      </c>
      <c r="D3" s="32" t="inlineStr"/>
      <c r="E3" s="32" t="inlineStr">
        <is>
          <t>doğrudan URL ile erişimi dene.
| Sayfa | Süper-yön. | Yönetici | Analist | İzleyici |
|---|---|---|---|---|
| Panel (/) | ✓ | ✓ | ✓ | ✓ |
| Yönetici Özeti (/executive-briefing) | ✓ | ✓ | ✓ | ✓ |
| Aksiyonlar (/action-items) | ✓ | ✓ | ✓ | ✓ (okur) |
| Uyarılar (/trend-alerts) | ✓ | ✓ | ✓ | ✓ |
| Strateji (/strategy) | ✓ | ✓ | ✓ | ✓ |
| İçgörüler (/insights) | ✓ | ✓ | ✓ | ✓ |
| Analiz Arşivi (/reviews) | ✓ | ✓ | ✓ | ✓ |
| Raporlar (/reports) | ✓ | ✓ | ✓ | ✓ |
| Ticket'lar (/tickets) | ✓ | ✓ | ✓ | ✓ (okur) |
| Manuel Analiz (/analyze) | ✓ | ✓ | ✓ | ✗ |
| Toplu Yükleme (/analyze/upload) | ✓ | ✓ | ✓ | ✗ |
| Ayarlar (/settings + alt) | ✓ | ✓ | ✗ | ✗ |
| Yönetim (/admin/) | ✓ | ✗ | ✗ | ✗ |</t>
        </is>
      </c>
      <c r="F3" s="32" t="inlineStr">
        <is>
          <t>• Tablodaki ✗ olan yerlerde sayfa "Yetkiniz yok" veriyor ya da menüde
hiç görünmüyor.
• "Yönetim" bölümü yalnız süper-yöneticide.</t>
        </is>
      </c>
      <c r="G3" s="32" t="inlineStr"/>
      <c r="H3" s="30" t="inlineStr"/>
      <c r="I3" s="33" t="inlineStr">
        <is>
          <t>Kritik</t>
        </is>
      </c>
      <c r="J3" s="31" t="inlineStr"/>
      <c r="K3" s="30" t="inlineStr"/>
      <c r="L3" s="31" t="inlineStr"/>
    </row>
    <row r="4" ht="151" customHeight="1">
      <c r="A4" s="34" t="inlineStr">
        <is>
          <t>UAT-RBAC-02</t>
        </is>
      </c>
      <c r="B4" s="35" t="inlineStr">
        <is>
          <t>B. Ticket yetkileri</t>
        </is>
      </c>
      <c r="C4" s="36" t="inlineStr">
        <is>
          <t>Ticket durum geçişleri rol bazlı</t>
        </is>
      </c>
      <c r="D4" s="36" t="inlineStr"/>
      <c r="E4" s="36" t="inlineStr">
        <is>
          <t>varlığını doğrula.
| İşlem | Yönetici | Analist | İzleyici |
|---|---|---|---|
| Üstlen (Açık→İlerlemekte) | ✓ | ✓ | ✗ |
| Çöz / Müşteri bekle / Devam et | ✓ | ✓ | ✗ |
| Kapat (Çözüldü→Kapatıldı) | ✓ | ✓ | ✗ |
| Bırak (kendi ticket'ı) | ✓ | ✓ | ✗ |
| İptal (Açık→İptal) | ✓ | ✓ | ✗ |
| İptal (İlerlemekte→İptal) | ✓ | ✗ | ✗ |
| Yeniden aç (Kapatıldı→) | ✓ | ✗ | ✗ |
| İptali geri al (İptal→) | ✓ | ✗ | ✗ |</t>
        </is>
      </c>
      <c r="F4" s="36" t="inlineStr">
        <is>
          <t>• İzleyiciye hiçbir durum butonu görünmüyor.
• Analist İlerlemekte'den iptal edemiyor; kapatılmış/iptal ticket'ı
yeniden açamıyor (bunlar yöneticiye özel).</t>
        </is>
      </c>
      <c r="G4" s="36" t="inlineStr"/>
      <c r="H4" s="30" t="inlineStr"/>
      <c r="I4" s="37" t="inlineStr">
        <is>
          <t>Kritik</t>
        </is>
      </c>
      <c r="J4" s="35" t="inlineStr"/>
      <c r="K4" s="34" t="inlineStr"/>
      <c r="L4" s="35" t="inlineStr"/>
    </row>
    <row r="5" ht="125" customHeight="1">
      <c r="A5" s="30" t="inlineStr">
        <is>
          <t>UAT-RBAC-03</t>
        </is>
      </c>
      <c r="B5" s="31" t="inlineStr">
        <is>
          <t>B. Ticket yetkileri</t>
        </is>
      </c>
      <c r="C5" s="32" t="inlineStr">
        <is>
          <t>Yorum ve atama yetkileri</t>
        </is>
      </c>
      <c r="D5" s="32" t="inlineStr"/>
      <c r="E5" s="32" t="inlineStr">
        <is>
          <t>| İşlem | Yönetici | Analist | İzleyici |
|---|---|---|---|
| İç not yaz | ✓ | ✓ | ✓ |
| Müşteri yanıtı yaz (aktif ticket) | ✓ | ✓ | ✗ |
| Müşteri yanıtı (Kapalı/İptal ticket) | ✗ | ✗ | ✗ |
| Kendi yorumunu arşivle | ✓ | ✓ | ✓ |
| Başkasının yorumunu arşivle | ✓ | ✗ | ✗ |
| Herkesi ata | ✓ | ✗ | ✗ |
| Yalnız kendini ata | — | ✓ | ✗ |</t>
        </is>
      </c>
      <c r="F5" s="32" t="inlineStr">
        <is>
          <t>• İzleyicide "Müşteri yanıtı" seçeneği yok/pasif.
• Analist başkasının yorumunu arşivleyemiyor, başkasını atayamıyor.</t>
        </is>
      </c>
      <c r="G5" s="32" t="inlineStr"/>
      <c r="H5" s="30" t="inlineStr"/>
      <c r="I5" s="33" t="inlineStr">
        <is>
          <t>Kritik</t>
        </is>
      </c>
      <c r="J5" s="31" t="inlineStr"/>
      <c r="K5" s="30" t="inlineStr"/>
      <c r="L5" s="31" t="inlineStr"/>
    </row>
    <row r="6" ht="112" customHeight="1">
      <c r="A6" s="34" t="inlineStr">
        <is>
          <t>UAT-RBAC-04</t>
        </is>
      </c>
      <c r="B6" s="35" t="inlineStr">
        <is>
          <t>C. Veri yükleme ve analiz yetkileri</t>
        </is>
      </c>
      <c r="C6" s="36" t="inlineStr">
        <is>
          <t>Analiz / yükleme rol bazlı</t>
        </is>
      </c>
      <c r="D6" s="36" t="inlineStr"/>
      <c r="E6" s="36" t="inlineStr">
        <is>
          <t>| İşlem | Yönetici | Analist | İzleyici |
|---|---|---|---|
| Manuel analiz gönder | ✓ | ✓ | ✗ |
| Toplu dosya yükle | ✓ | ✓ | ✗ |
| Şablon indir | ✓ | ✓ | ✓ |
| Geçmiş yüklemeleri gör | ✓ | ✓ | ✓ |
| Analizi Ticket'a dönüştür | ✓ | ✓ | ✗ |
| Kararı düzelt | ✓ | ✓ | ✗ |</t>
        </is>
      </c>
      <c r="F6" s="36" t="inlineStr">
        <is>
          <t>• İzleyici analiz gönderemiyor/yükleyemiyor; denerse "Bu işlem için
yetkin yok." ya da sayfa erişimi engelli.</t>
        </is>
      </c>
      <c r="G6" s="36" t="inlineStr"/>
      <c r="H6" s="30" t="inlineStr"/>
      <c r="I6" s="37" t="inlineStr">
        <is>
          <t>Kritik</t>
        </is>
      </c>
      <c r="J6" s="35" t="inlineStr"/>
      <c r="K6" s="34" t="inlineStr"/>
      <c r="L6" s="35" t="inlineStr"/>
    </row>
    <row r="7" ht="138" customHeight="1">
      <c r="A7" s="30" t="inlineStr">
        <is>
          <t>UAT-RBAC-05</t>
        </is>
      </c>
      <c r="B7" s="31" t="inlineStr">
        <is>
          <t>D. Ayar ve yönetim yetkileri</t>
        </is>
      </c>
      <c r="C7" s="32" t="inlineStr">
        <is>
          <t>Ayar/aksiyon/uyarı/yönetim yetkileri</t>
        </is>
      </c>
      <c r="D7" s="32" t="inlineStr"/>
      <c r="E7" s="32" t="inlineStr">
        <is>
          <t>| İşlem | Süper-yön. | Yönetici | Analist | İzleyici |
|---|---|---|---|---|
| Otomasyon modu değiştir | ✓ | ✓ | ✗ | ✗ |
| Kategori/SLA/KPI/Profil düzenle | ✓ | ✓ | ✗ | ✗ |
| Kullanıcı davet et (kendi kurumu) | ✓ | ✓ | ✗ | ✗ |
| Aksiyon oluştur / durum değiştir | ✓ | ✓ | ✓ | ✗ |
| Uyarı onayla / at | ✓ | ✓ | ✓ | ✓ |
| Uyarı "Şimdi Değerlendir" | ✓ | ✓ | ✗ | ✗ |
| Kurum oluştur/sil | ✓ | ✗ | ✗ | ✗ |
| LLM/Karar denetimi gör | ✓ | ✗ | ✗ | ✗ |</t>
        </is>
      </c>
      <c r="F7" s="32" t="inlineStr">
        <is>
          <t>• Tablodaki ✗ yerlerde işlem yapılamıyor (buton yok / "Yetkiniz yok" /
reddediliyor).</t>
        </is>
      </c>
      <c r="G7" s="32" t="inlineStr"/>
      <c r="H7" s="30" t="inlineStr"/>
      <c r="I7" s="33" t="inlineStr">
        <is>
          <t>Kritik</t>
        </is>
      </c>
      <c r="J7" s="31" t="inlineStr"/>
      <c r="K7" s="30" t="inlineStr"/>
      <c r="L7" s="31" t="inlineStr"/>
    </row>
    <row r="8" ht="60" customHeight="1">
      <c r="A8" s="34" t="inlineStr">
        <is>
          <t>UAT-RBAC-06</t>
        </is>
      </c>
      <c r="B8" s="35" t="inlineStr">
        <is>
          <t>E. Kurumlar arası izolasyon (kritik)</t>
        </is>
      </c>
      <c r="C8" s="36" t="inlineStr">
        <is>
          <t>Bir kurumun verisi başka kurumda görünmemeli</t>
        </is>
      </c>
      <c r="D8" s="36" t="inlineStr">
        <is>
          <t>Çok-kurumlu kullanıcı (Kurum A + Kurum B).</t>
        </is>
      </c>
      <c r="E8" s="36" t="inlineStr">
        <is>
          <t>1. Kurum A'da bir ticket'ın/analizin ID'sini (URL'den) not al.
2. Kurum B'ye geç.
3. Kurum A'daki o ID'yi B bağlamındayken doğrudan URL ile açmayı dene
(örn. /tickets/{A-ticket-id}).</t>
        </is>
      </c>
      <c r="F8" s="36" t="inlineStr">
        <is>
          <t>• Kurum B bağlamındayken Kurum A'nın kaydı görünmüyor (bulunamadı /
erişim yok). Kurum verileri tamamen izole.</t>
        </is>
      </c>
      <c r="G8" s="36" t="inlineStr"/>
      <c r="H8" s="30" t="inlineStr"/>
      <c r="I8" s="37" t="inlineStr">
        <is>
          <t>Kritik</t>
        </is>
      </c>
      <c r="J8" s="35" t="inlineStr"/>
      <c r="K8" s="34" t="inlineStr"/>
      <c r="L8" s="35" t="inlineStr"/>
    </row>
  </sheetData>
  <autoFilter ref="A2:L8"/>
  <mergeCells count="1">
    <mergeCell ref="A1:L1"/>
  </mergeCells>
  <conditionalFormatting sqref="H3:H8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8" showDropDown="0" showInputMessage="0" showErrorMessage="0" allowBlank="1" type="list">
      <formula1>"Geçti,Kaldı,Bloke,Uygulanamaz"</formula1>
    </dataValidation>
    <dataValidation sqref="I3:I8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52" customWidth="1" min="5" max="5"/>
    <col width="52" customWidth="1" min="6" max="6"/>
    <col width="28" customWidth="1" min="7" max="7"/>
    <col width="12" customWidth="1" min="8" max="8"/>
    <col width="11" customWidth="1" min="9" max="9"/>
    <col width="14" customWidth="1" min="10" max="10"/>
    <col width="12" customWidth="1" min="11" max="11"/>
    <col width="26" customWidth="1" min="12" max="12"/>
  </cols>
  <sheetData>
    <row r="1" ht="24" customHeight="1">
      <c r="A1" s="29" t="inlineStr">
        <is>
          <t>İmga UAT  —  10 · Genel / Çapraz   (11 senaryo)</t>
        </is>
      </c>
    </row>
    <row r="2" ht="30" customHeight="1">
      <c r="A2" s="13" t="inlineStr">
        <is>
          <t>Test ID</t>
        </is>
      </c>
      <c r="B2" s="13" t="inlineStr">
        <is>
          <t>Kategori</t>
        </is>
      </c>
      <c r="C2" s="13" t="inlineStr">
        <is>
          <t>Senaryo</t>
        </is>
      </c>
      <c r="D2" s="13" t="inlineStr">
        <is>
          <t>Ön Koşul</t>
        </is>
      </c>
      <c r="E2" s="13" t="inlineStr">
        <is>
          <t>Test Adımları</t>
        </is>
      </c>
      <c r="F2" s="13" t="inlineStr">
        <is>
          <t>Beklenen Sonuç</t>
        </is>
      </c>
      <c r="G2" s="13" t="inlineStr">
        <is>
          <t>Gerçekleşen Sonuç</t>
        </is>
      </c>
      <c r="H2" s="13" t="inlineStr">
        <is>
          <t>Durum</t>
        </is>
      </c>
      <c r="I2" s="13" t="inlineStr">
        <is>
          <t>Öncelik</t>
        </is>
      </c>
      <c r="J2" s="13" t="inlineStr">
        <is>
          <t>Test Eden</t>
        </is>
      </c>
      <c r="K2" s="13" t="inlineStr">
        <is>
          <t>Tarih</t>
        </is>
      </c>
      <c r="L2" s="13" t="inlineStr">
        <is>
          <t>Not / Hata No</t>
        </is>
      </c>
    </row>
    <row r="3" ht="47" customHeight="1">
      <c r="A3" s="30" t="inlineStr">
        <is>
          <t>UAT-GEN-01</t>
        </is>
      </c>
      <c r="B3" s="31" t="inlineStr">
        <is>
          <t>A. Terminoloji ve dil tutarlılığı</t>
        </is>
      </c>
      <c r="C3" s="32" t="inlineStr">
        <is>
          <t>"Bilet" kelimesi hiçbir yerde olmamalı</t>
        </is>
      </c>
      <c r="D3" s="32" t="inlineStr">
        <is>
          <t>Herhangi bir rol.</t>
        </is>
      </c>
      <c r="E3" s="32" t="inlineStr">
        <is>
          <t>1. Ticket'la ilgili tüm sayfaları gez (Panel, Ticket'lar, ticket detayı,
Manuel Analiz karar kartları, Toplu Yükleme özeti, Analiz Arşivi).
2. Her sayfada tarayıcı içi aramayla (Ctrl+F) "bilet" kelimesini ara.</t>
        </is>
      </c>
      <c r="F3" s="32" t="inlineStr">
        <is>
          <t>• Hiçbir ekranda "bilet" geçmiyor; her yerde "Ticket" kullanılıyor.
• Türkçe ekleri apostrofla: "Ticket'lar", "Ticket'a".
• "bilet" bulursan: Düşük/Orta önemli hata olarak satır satır raporla.</t>
        </is>
      </c>
      <c r="G3" s="32" t="inlineStr"/>
      <c r="H3" s="30" t="inlineStr"/>
      <c r="I3" s="33" t="inlineStr">
        <is>
          <t>Düşük</t>
        </is>
      </c>
      <c r="J3" s="31" t="inlineStr"/>
      <c r="K3" s="30" t="inlineStr"/>
      <c r="L3" s="31" t="inlineStr"/>
    </row>
    <row r="4" ht="60" customHeight="1">
      <c r="A4" s="34" t="inlineStr">
        <is>
          <t>UAT-GEN-02</t>
        </is>
      </c>
      <c r="B4" s="35" t="inlineStr">
        <is>
          <t>A. Terminoloji ve dil tutarlılığı</t>
        </is>
      </c>
      <c r="C4" s="36" t="inlineStr">
        <is>
          <t>"Kurum" terminolojisi ve iç jargon sızıntısı</t>
        </is>
      </c>
      <c r="D4" s="36" t="inlineStr">
        <is>
          <t>Herhangi bir rol.</t>
        </is>
      </c>
      <c r="E4" s="36" t="inlineStr">
        <is>
          <t>1. Kullanıcıya görünen metinlerde "tenant" kelimesini ara (Ctrl+F).
2. Teknik jargon ("Job", "Batch", "Render", "payload", "override",
"bridge") kullanıcıya görünen metinlerde geçiyor mu bak.</t>
        </is>
      </c>
      <c r="F4" s="36" t="inlineStr">
        <is>
          <t>• Kullanıcı yüzeyinde "tenant" yerine "Kurum" kullanılıyor.
• SWOT / OKR / KPI / NPS gibi standart iş terimleri korunur (bunlar
hata değil).
• Ham teknik jargon kullanıcı metinlerinde görünmemeli.</t>
        </is>
      </c>
      <c r="G4" s="36" t="inlineStr"/>
      <c r="H4" s="30" t="inlineStr"/>
      <c r="I4" s="37" t="inlineStr">
        <is>
          <t>Düşük</t>
        </is>
      </c>
      <c r="J4" s="35" t="inlineStr"/>
      <c r="K4" s="34" t="inlineStr"/>
      <c r="L4" s="35" t="inlineStr"/>
    </row>
    <row r="5" ht="34" customHeight="1">
      <c r="A5" s="30" t="inlineStr">
        <is>
          <t>UAT-GEN-03</t>
        </is>
      </c>
      <c r="B5" s="31" t="inlineStr">
        <is>
          <t>A. Terminoloji ve dil tutarlılığı</t>
        </is>
      </c>
      <c r="C5" s="32" t="inlineStr">
        <is>
          <t>Yazım, tutarlılık, kesik metin</t>
        </is>
      </c>
      <c r="D5" s="32" t="inlineStr">
        <is>
          <t>Herhangi bir rol.</t>
        </is>
      </c>
      <c r="E5" s="32" t="inlineStr">
        <is>
          <t>1. Sayfaları gezerken başlık/buton/etiketlerde yazım hatası, yarıda kesilen
metin, taşan/üst üste binen yazı var mı bak.</t>
        </is>
      </c>
      <c r="F5" s="32" t="inlineStr">
        <is>
          <t>• Metinler tam ve okunur; buton/etiketler kutularına sığıyor.</t>
        </is>
      </c>
      <c r="G5" s="32" t="inlineStr"/>
      <c r="H5" s="30" t="inlineStr"/>
      <c r="I5" s="33" t="inlineStr">
        <is>
          <t>Düşük</t>
        </is>
      </c>
      <c r="J5" s="31" t="inlineStr"/>
      <c r="K5" s="30" t="inlineStr"/>
      <c r="L5" s="31" t="inlineStr"/>
    </row>
    <row r="6" ht="73" customHeight="1">
      <c r="A6" s="34" t="inlineStr">
        <is>
          <t>UAT-GEN-04</t>
        </is>
      </c>
      <c r="B6" s="35" t="inlineStr">
        <is>
          <t>B. Navigasyon ve düzen</t>
        </is>
      </c>
      <c r="C6" s="36" t="inlineStr">
        <is>
          <t>Sol menü davranışı (varsayılan açık)</t>
        </is>
      </c>
      <c r="D6" s="36" t="inlineStr">
        <is>
          <t>Herhangi bir rol.</t>
        </is>
      </c>
      <c r="E6" s="36" t="inlineStr">
        <is>
          <t>1. İlk girişte sol menünün açık (genişlemiş) geldiğini doğrula.
2. Daralt/genişlet düğmesiyle daralt; sayfayı yenile.
3. Menüdeki tüm linkleri tek tek dene; aktif sayfa vurgusunu gözle.</t>
        </is>
      </c>
      <c r="F6" s="36" t="inlineStr">
        <is>
          <t>• Menü varsayılan açık geliyor.
• Daraltma tercihi yenilemede korunuyor (ikon-only mod).
• Tüm linkler doğru sayfaya gidiyor; bulunduğun sayfa menüde vurgulu.
• Gruplar: (başlıksız birincil) · Analitik · Operasyon · Ayarlar
(+ süper-yöneticide Yönetim).</t>
        </is>
      </c>
      <c r="G6" s="36" t="inlineStr"/>
      <c r="H6" s="30" t="inlineStr"/>
      <c r="I6" s="37" t="inlineStr">
        <is>
          <t>Düşük</t>
        </is>
      </c>
      <c r="J6" s="35" t="inlineStr"/>
      <c r="K6" s="34" t="inlineStr"/>
      <c r="L6" s="35" t="inlineStr"/>
    </row>
    <row r="7" ht="47" customHeight="1">
      <c r="A7" s="30" t="inlineStr">
        <is>
          <t>UAT-GEN-05</t>
        </is>
      </c>
      <c r="B7" s="31" t="inlineStr">
        <is>
          <t>C. Mobil / duyarlı tasarım</t>
        </is>
      </c>
      <c r="C7" s="32" t="inlineStr">
        <is>
          <t>Mobil görünüm</t>
        </is>
      </c>
      <c r="D7" s="32" t="inlineStr">
        <is>
          <t>Herhangi bir rol · Telefon veya tarayıcı cihaz emülasyonu (dar ekran).</t>
        </is>
      </c>
      <c r="E7" s="32" t="inlineStr">
        <is>
          <t>1. Pencereyi telefon genişliğine küçült (veya gerçek telefonda aç).
2. Panel, Ticket listesi, ticket detayı, Toplu Yükleme ve bir ayar sayfasını gez.
3. Sol menüyü (mobilde aç/kapanır panel) aç-kapa.</t>
        </is>
      </c>
      <c r="F7" s="32" t="inlineStr">
        <is>
          <t>• İçerik tek kolona iniyor; yatay kaydırma gerekmiyor.
• Menü mobilde overlay olarak açılıyor, link tıklayınca kapanıyor.
• Tablolar/kartlar okunabiliyor; butonlara parmakla basılabiliyor.</t>
        </is>
      </c>
      <c r="G7" s="32" t="inlineStr"/>
      <c r="H7" s="30" t="inlineStr"/>
      <c r="I7" s="33" t="inlineStr">
        <is>
          <t>Düşük</t>
        </is>
      </c>
      <c r="J7" s="31" t="inlineStr"/>
      <c r="K7" s="30" t="inlineStr"/>
      <c r="L7" s="31" t="inlineStr"/>
    </row>
    <row r="8" ht="47" customHeight="1">
      <c r="A8" s="34" t="inlineStr">
        <is>
          <t>UAT-GEN-06</t>
        </is>
      </c>
      <c r="B8" s="35" t="inlineStr">
        <is>
          <t>D. Erişilebilirlik (temel)</t>
        </is>
      </c>
      <c r="C8" s="36" t="inlineStr">
        <is>
          <t>Klavye ve kontrast</t>
        </is>
      </c>
      <c r="D8" s="36" t="inlineStr">
        <is>
          <t>Herhangi bir rol.</t>
        </is>
      </c>
      <c r="E8" s="36" t="inlineStr">
        <is>
          <t>1. Fareyi bırak; Tab ile giriş formunda ve menüde gezinmeyi dene.
2. Odaklanılan elemanın görünür bir çerçevesi var mı bak.
3. Metin-arka plan kontrastı genel olarak okunur mu değerlendir.</t>
        </is>
      </c>
      <c r="F8" s="36" t="inlineStr">
        <is>
          <t>• Tab ile sıralı ve mantıklı gezinme; odak görünür.
• Form alanları etiketli; butonlar Enter/Space ile çalışıyor.</t>
        </is>
      </c>
      <c r="G8" s="36" t="inlineStr"/>
      <c r="H8" s="30" t="inlineStr"/>
      <c r="I8" s="37" t="inlineStr">
        <is>
          <t>Düşük</t>
        </is>
      </c>
      <c r="J8" s="35" t="inlineStr"/>
      <c r="K8" s="34" t="inlineStr"/>
      <c r="L8" s="35" t="inlineStr"/>
    </row>
    <row r="9" ht="47" customHeight="1">
      <c r="A9" s="30" t="inlineStr">
        <is>
          <t>UAT-GEN-07</t>
        </is>
      </c>
      <c r="B9" s="31" t="inlineStr">
        <is>
          <t>E. Performans (öznel)</t>
        </is>
      </c>
      <c r="C9" s="32" t="inlineStr">
        <is>
          <t>Yükleme hızları ve ilk analiz</t>
        </is>
      </c>
      <c r="D9" s="32" t="inlineStr">
        <is>
          <t>Kurum A (dolu veri).</t>
        </is>
      </c>
      <c r="E9" s="32" t="inlineStr">
        <is>
          <t>1. Panel, İçgörüler, Analiz Arşivi ilk açılış sürelerini gözle.
2. İlk manuel analizde ("cold start") yanıt süresine dikkat et.</t>
        </is>
      </c>
      <c r="F9" s="32" t="inlineStr">
        <is>
          <t>• Sayfalar makul sürede (birkaç saniye) açılıyor; yüklenirken iskelet/spinner var.
• İlk analiz model "soğuk başlangıç" nedeniyle uzun sürebilir; sonraki
analizler 1–5 sn. 30+ sn sürekli takılma varsa not et.</t>
        </is>
      </c>
      <c r="G9" s="32" t="inlineStr"/>
      <c r="H9" s="30" t="inlineStr"/>
      <c r="I9" s="33" t="inlineStr">
        <is>
          <t>Düşük</t>
        </is>
      </c>
      <c r="J9" s="31" t="inlineStr"/>
      <c r="K9" s="30" t="inlineStr"/>
      <c r="L9" s="31" t="inlineStr"/>
    </row>
    <row r="10" ht="47" customHeight="1">
      <c r="A10" s="34" t="inlineStr">
        <is>
          <t>UAT-GEN-08</t>
        </is>
      </c>
      <c r="B10" s="35" t="inlineStr">
        <is>
          <t>F. Hata ve boş durum davranışı</t>
        </is>
      </c>
      <c r="C10" s="36" t="inlineStr">
        <is>
          <t>Boş durumlar ve hata mesajları</t>
        </is>
      </c>
      <c r="D10" s="36" t="inlineStr">
        <is>
          <t>Kurum B (boş) + bilinçli hatalı işlemler.</t>
        </is>
      </c>
      <c r="E10" s="36" t="inlineStr">
        <is>
          <t>1. Boş kurumda Panel/İçgörüler/Analiz Arşivi/Raporlar/Aksiyonlar'ı aç.
2. Bilinçli hatalı işlemler yap (boş form gönder, geçersiz değer gir).</t>
        </is>
      </c>
      <c r="F10" s="36" t="inlineStr">
        <is>
          <t>• Boş durumlar anlamlı mesaj + yönlendirme veriyor ("henüz veri yok" tarzı),
boş/bozuk ekran yok.
• Hatalar Türkçe, anlaşılır bildirimle gösteriliyor; uygulama çökmüyor.</t>
        </is>
      </c>
      <c r="G10" s="36" t="inlineStr"/>
      <c r="H10" s="30" t="inlineStr"/>
      <c r="I10" s="37" t="inlineStr">
        <is>
          <t>Düşük</t>
        </is>
      </c>
      <c r="J10" s="35" t="inlineStr"/>
      <c r="K10" s="34" t="inlineStr"/>
      <c r="L10" s="35" t="inlineStr"/>
    </row>
    <row r="11" ht="34" customHeight="1">
      <c r="A11" s="30" t="inlineStr">
        <is>
          <t>UAT-GEN-09</t>
        </is>
      </c>
      <c r="B11" s="31" t="inlineStr">
        <is>
          <t>F. Hata ve boş durum davranışı</t>
        </is>
      </c>
      <c r="C11" s="32" t="inlineStr">
        <is>
          <t>Tarayıcı konsolu temiz mi</t>
        </is>
      </c>
      <c r="D11" s="32" t="inlineStr">
        <is>
          <t>Herhangi bir rol.</t>
        </is>
      </c>
      <c r="E11" s="32" t="inlineStr">
        <is>
          <t>1. Tarayıcıda Geliştirici Araçları (F12) → Console sekmesini aç.
2. Birkaç ana sayfayı gez ve kırmızı hata (error) birikip birikmediğine bak.</t>
        </is>
      </c>
      <c r="F11" s="32" t="inlineStr">
        <is>
          <t>• Normal kullanımda konsolda kırmızı JavaScript hatası yok (uyarılar olabilir).</t>
        </is>
      </c>
      <c r="G11" s="32" t="inlineStr"/>
      <c r="H11" s="30" t="inlineStr"/>
      <c r="I11" s="33" t="inlineStr">
        <is>
          <t>Düşük</t>
        </is>
      </c>
      <c r="J11" s="31" t="inlineStr"/>
      <c r="K11" s="30" t="inlineStr"/>
      <c r="L11" s="31" t="inlineStr"/>
    </row>
    <row r="12" ht="34" customHeight="1">
      <c r="A12" s="34" t="inlineStr">
        <is>
          <t>UAT-GEN-10</t>
        </is>
      </c>
      <c r="B12" s="35" t="inlineStr">
        <is>
          <t>G. Tarayıcı uyumu</t>
        </is>
      </c>
      <c r="C12" s="36" t="inlineStr">
        <is>
          <t>Çoklu tarayıcı</t>
        </is>
      </c>
      <c r="D12" s="36" t="inlineStr">
        <is>
          <t>Herhangi bir rol.</t>
        </is>
      </c>
      <c r="E12" s="36" t="inlineStr">
        <is>
          <t>1. En az şu çekirdek akışı 2 farklı tarayıcıda tekrar et (Chrome + Edge
veya Safari): giriş → Panel → manuel analiz → Analiz Arşivi.</t>
        </is>
      </c>
      <c r="F12" s="36" t="inlineStr">
        <is>
          <t>• Akış tüm tarayıcılarda aynı çalışıyor; görsel bozulma yok.</t>
        </is>
      </c>
      <c r="G12" s="36" t="inlineStr"/>
      <c r="H12" s="30" t="inlineStr"/>
      <c r="I12" s="37" t="inlineStr">
        <is>
          <t>Düşük</t>
        </is>
      </c>
      <c r="J12" s="35" t="inlineStr"/>
      <c r="K12" s="34" t="inlineStr"/>
      <c r="L12" s="35" t="inlineStr"/>
    </row>
    <row r="13" ht="99" customHeight="1">
      <c r="A13" s="30" t="inlineStr">
        <is>
          <t>UAT-GEN-11</t>
        </is>
      </c>
      <c r="B13" s="31" t="inlineStr">
        <is>
          <t>H. Üretim duman testi (yayın sonrası)</t>
        </is>
      </c>
      <c r="C13" s="32" t="inlineStr">
        <is>
          <t>Production duman testi</t>
        </is>
      </c>
      <c r="D13" s="32" t="inlineStr">
        <is>
          <t>Gerçek bir hesap · app.imga.ai.</t>
        </is>
      </c>
      <c r="E13" s="32" t="inlineStr">
        <is>
          <t>1. app.imga.ai'de Ctrl+F5 ile gir.
2. Panel açılıyor mu, veriler geliyor mu bak.
3. Bir manuel analiz yap (sonuç dönüyor mu).
4. Toplu Yükleme sihirbazını aç; yorum-kolonsuz bir dosyada kırmızı
kilit, temiz/text-kolonlu dosyada yeşil geçişi doğrula (gerçek
yükleme başlatmadan ön-doğrulama yeterli).
5. Konsolda (F12) kırmızı hata var mı bak.</t>
        </is>
      </c>
      <c r="F13" s="32" t="inlineStr">
        <is>
          <t>• Giriş + Panel + analiz çalışıyor; ön-doğrulama doğru davranıyor; konsol temiz.</t>
        </is>
      </c>
      <c r="G13" s="32" t="inlineStr"/>
      <c r="H13" s="30" t="inlineStr"/>
      <c r="I13" s="33" t="inlineStr">
        <is>
          <t>Düşük</t>
        </is>
      </c>
      <c r="J13" s="31" t="inlineStr"/>
      <c r="K13" s="30" t="inlineStr"/>
      <c r="L13" s="31" t="inlineStr"/>
    </row>
  </sheetData>
  <autoFilter ref="A2:L13"/>
  <mergeCells count="1">
    <mergeCell ref="A1:L1"/>
  </mergeCells>
  <conditionalFormatting sqref="H3:H13">
    <cfRule type="cellIs" priority="1" operator="equal" dxfId="0">
      <formula>"Geçti"</formula>
    </cfRule>
    <cfRule type="cellIs" priority="2" operator="equal" dxfId="1">
      <formula>"Kaldı"</formula>
    </cfRule>
    <cfRule type="cellIs" priority="3" operator="equal" dxfId="2">
      <formula>"Bloke"</formula>
    </cfRule>
    <cfRule type="cellIs" priority="4" operator="equal" dxfId="3">
      <formula>"Uygulanamaz"</formula>
    </cfRule>
  </conditionalFormatting>
  <dataValidations count="2">
    <dataValidation sqref="H3:H13" showDropDown="0" showInputMessage="0" showErrorMessage="0" allowBlank="1" type="list">
      <formula1>"Geçti,Kaldı,Bloke,Uygulanamaz"</formula1>
    </dataValidation>
    <dataValidation sqref="I3:I13" showDropDown="0" showInputMessage="0" showErrorMessage="0" allowBlank="1" type="list">
      <formula1>"Kritik,Yüksek,Orta,Düşük"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0" customWidth="1" min="4" max="4"/>
    <col width="11" customWidth="1" min="5" max="5"/>
    <col width="14" customWidth="1" min="6" max="6"/>
    <col width="30" customWidth="1" min="7" max="7"/>
    <col width="38" customWidth="1" min="8" max="8"/>
    <col width="28" customWidth="1" min="9" max="9"/>
    <col width="28" customWidth="1" min="10" max="10"/>
    <col width="18" customWidth="1" min="11" max="11"/>
    <col width="30" customWidth="1" min="12" max="12"/>
    <col width="14" customWidth="1" min="13" max="13"/>
  </cols>
  <sheetData>
    <row r="1" ht="24" customHeight="1">
      <c r="A1" s="38" t="inlineStr">
        <is>
          <t>İmga UAT — Hata Kaydı   (senaryo 'Kaldı' olduğunda buraya gir)</t>
        </is>
      </c>
    </row>
    <row r="2" ht="30" customHeight="1">
      <c r="A2" s="13" t="inlineStr">
        <is>
          <t>Hata No</t>
        </is>
      </c>
      <c r="B2" s="13" t="inlineStr">
        <is>
          <t>Tarih</t>
        </is>
      </c>
      <c r="C2" s="13" t="inlineStr">
        <is>
          <t>İlgili Test ID</t>
        </is>
      </c>
      <c r="D2" s="13" t="inlineStr">
        <is>
          <t>Modül</t>
        </is>
      </c>
      <c r="E2" s="13" t="inlineStr">
        <is>
          <t>Öncelik</t>
        </is>
      </c>
      <c r="F2" s="13" t="inlineStr">
        <is>
          <t>Tespit Eden</t>
        </is>
      </c>
      <c r="G2" s="13" t="inlineStr">
        <is>
          <t>Özet</t>
        </is>
      </c>
      <c r="H2" s="13" t="inlineStr">
        <is>
          <t>Tekrar Adımları</t>
        </is>
      </c>
      <c r="I2" s="13" t="inlineStr">
        <is>
          <t>Beklenen</t>
        </is>
      </c>
      <c r="J2" s="13" t="inlineStr">
        <is>
          <t>Gerçekleşen</t>
        </is>
      </c>
      <c r="K2" s="13" t="inlineStr">
        <is>
          <t>Ekran Görüntüsü</t>
        </is>
      </c>
      <c r="L2" s="13" t="inlineStr">
        <is>
          <t>Developer Note</t>
        </is>
      </c>
      <c r="M2" s="13" t="inlineStr">
        <is>
          <t>Durum</t>
        </is>
      </c>
    </row>
    <row r="3" ht="40" customHeight="1">
      <c r="A3" s="39" t="inlineStr">
        <is>
          <t>HATA-01</t>
        </is>
      </c>
      <c r="B3" s="39" t="inlineStr">
        <is>
          <t>08.07.2026</t>
        </is>
      </c>
      <c r="C3" s="39" t="inlineStr">
        <is>
          <t>UAT-UPL-03</t>
        </is>
      </c>
      <c r="D3" s="39" t="inlineStr">
        <is>
          <t>05 · Veri Yükleme</t>
        </is>
      </c>
      <c r="E3" s="39" t="inlineStr">
        <is>
          <t>Yüksek</t>
        </is>
      </c>
      <c r="F3" s="39" t="inlineStr">
        <is>
          <t>Claude (otomasyon)</t>
        </is>
      </c>
      <c r="G3" s="40" t="inlineStr">
        <is>
          <t>Toplu yükleme ön-doğrulaması her istisnada 500 dönüyor; asıl hata maskeleniyor</t>
        </is>
      </c>
      <c r="H3" s="40" t="inlineStr">
        <is>
          <t>Bozuk/okunamayan bir .xlsx dosyası seç → Adım 2 ön-doğrulamasını bekle</t>
        </is>
      </c>
      <c r="I3" s="40" t="inlineStr">
        <is>
          <t>400 + 'dosya okunamadı' tarzı anlaşılır kırmızı panel</t>
        </is>
      </c>
      <c r="J3" s="40" t="inlineStr">
        <is>
          <t>500 Internal Server Error; UI sessizce 'Otomatik tespit alınamadı' fallback'ine düşüyor; log'da KeyError</t>
        </is>
      </c>
      <c r="K3" s="39" t="inlineStr">
        <is>
          <t>Koşum raporu: docs/uat/2026-07-08-05-veri-yukleme-kosum-raporu.md</t>
        </is>
      </c>
      <c r="L3" s="40" t="inlineStr">
        <is>
          <t>tenant_batch.py:447 log.exception(extra={'filename': ...}) — 'filename' rezerve LogRecord alanı → KeyError; BadZipFile FileParseError'a map'lenmeli. Repo genelinde extra={'filename'} taranmalı.</t>
        </is>
      </c>
      <c r="M3" s="39" t="inlineStr">
        <is>
          <t>Açık</t>
        </is>
      </c>
    </row>
    <row r="4" ht="40" customHeight="1">
      <c r="A4" s="41" t="inlineStr">
        <is>
          <t>HATA-02</t>
        </is>
      </c>
      <c r="B4" s="41" t="inlineStr">
        <is>
          <t>08.07.2026</t>
        </is>
      </c>
      <c r="C4" s="41" t="inlineStr">
        <is>
          <t>UAT-ANL-05</t>
        </is>
      </c>
      <c r="D4" s="41" t="inlineStr">
        <is>
          <t>05 · Veri Yükleme</t>
        </is>
      </c>
      <c r="E4" s="41" t="inlineStr">
        <is>
          <t>Yüksek</t>
        </is>
      </c>
      <c r="F4" s="41" t="inlineStr">
        <is>
          <t>Claude (otomasyon)</t>
        </is>
      </c>
      <c r="G4" s="42" t="inlineStr">
        <is>
          <t>İkincil Tetikleyici katmanı pozitif cümleyi negatife çeviriyor → yanlış otomatik Ticket</t>
        </is>
      </c>
      <c r="H4" s="42" t="inlineStr">
        <is>
          <t>Tam otomatik modda 'Kargom çok hızlı geldi, harika hizmet.' analiz et</t>
        </is>
      </c>
      <c r="I4" s="42" t="inlineStr">
        <is>
          <t>POZITIF + 'Eşik altı — Ticket açılmadı'</t>
        </is>
      </c>
      <c r="J4" s="42" t="inlineStr">
        <is>
          <t>NEGATIF −0.40 (katman: İkincil Tetikleyici, eşleşen: kargo) + otomatik Ticket 2a766438 açıldı</t>
        </is>
      </c>
      <c r="K4" s="41" t="inlineStr">
        <is>
          <t>Koşum raporu: docs/uat/2026-07-08-05-veri-yukleme-kosum-raporu.md</t>
        </is>
      </c>
      <c r="L4" s="42" t="inlineStr">
        <is>
          <t>imga-core override katmanı 'kargo' kelime eşleşmesiyle skoru eziyor; BERT skoru pozitifken tetiklenmemeli. Toplu yüklemede de aynı desen ('teşekkürler harika hizmet' → Olumsuz).</t>
        </is>
      </c>
      <c r="M4" s="41" t="inlineStr">
        <is>
          <t>Açık</t>
        </is>
      </c>
    </row>
    <row r="5" ht="40" customHeight="1">
      <c r="A5" s="39" t="inlineStr">
        <is>
          <t>HATA-03</t>
        </is>
      </c>
      <c r="B5" s="39" t="inlineStr">
        <is>
          <t>08.07.2026</t>
        </is>
      </c>
      <c r="C5" s="39" t="inlineStr">
        <is>
          <t>UAT-ANL-07</t>
        </is>
      </c>
      <c r="D5" s="39" t="inlineStr">
        <is>
          <t>05 · Veri Yükleme</t>
        </is>
      </c>
      <c r="E5" s="39" t="inlineStr">
        <is>
          <t>Orta</t>
        </is>
      </c>
      <c r="F5" s="39" t="inlineStr">
        <is>
          <t>Claude (otomasyon)</t>
        </is>
      </c>
      <c r="G5" s="40" t="inlineStr">
        <is>
          <t>Belirsiz analizde 'Yine de Ticket Aç' işlevsiz + yanlış hata mesajı</t>
        </is>
      </c>
      <c r="H5" s="40" t="inlineStr">
        <is>
          <t>Kategori 'belirsiz' dönen bir analizde 'Yine de Ticket Aç'a bas</t>
        </is>
      </c>
      <c r="I5" s="40" t="inlineStr">
        <is>
          <t>Manuel Ticket açılır, ticket'a bağlantı görünür</t>
        </is>
      </c>
      <c r="J5" s="40" t="inlineStr">
        <is>
          <t>API 409 "category 'belirsiz' is not configured for this tenant"; FE her 409'u 'Bu analiz zaten bir Ticket'a bağlı.' olarak gösteriyor</t>
        </is>
      </c>
      <c r="K5" s="39" t="inlineStr">
        <is>
          <t>Koşum raporu: docs/uat/2026-07-08-05-veri-yukleme-kosum-raporu.md</t>
        </is>
      </c>
      <c r="L5" s="40" t="inlineStr">
        <is>
          <t>promote_to_ticket → _resolve_category_id('belirsiz') CategoryNotConfiguredError; belirsiz için fallback kategori gerekli. FE 409 detail'ini yansıtmalı.</t>
        </is>
      </c>
      <c r="M5" s="39" t="inlineStr">
        <is>
          <t>Açık</t>
        </is>
      </c>
    </row>
    <row r="6" ht="40" customHeight="1">
      <c r="A6" s="41" t="inlineStr">
        <is>
          <t>HATA-04</t>
        </is>
      </c>
      <c r="B6" s="41" t="inlineStr">
        <is>
          <t>08.07.2026</t>
        </is>
      </c>
      <c r="C6" s="41" t="inlineStr">
        <is>
          <t>UAT-UPL-03</t>
        </is>
      </c>
      <c r="D6" s="41" t="inlineStr">
        <is>
          <t>05 · Veri Yükleme</t>
        </is>
      </c>
      <c r="E6" s="41" t="inlineStr">
        <is>
          <t>Orta</t>
        </is>
      </c>
      <c r="F6" s="41" t="inlineStr">
        <is>
          <t>Claude (otomasyon)</t>
        </is>
      </c>
      <c r="G6" s="42" t="inlineStr">
        <is>
          <t>Önizleme/yükleme istekleri access-token yenileme akışına bağlı değil</t>
        </is>
      </c>
      <c r="H6" s="42" t="inlineStr">
        <is>
          <t>Oturumda 15+ dk bekle (token süresi dolsun) → Toplu Yükleme'de dosya seç</t>
        </is>
      </c>
      <c r="I6" s="42" t="inlineStr">
        <is>
          <t>Sessiz token yenileme + normal ön-doğrulama</t>
        </is>
      </c>
      <c r="J6" s="42" t="inlineStr">
        <is>
          <t>401 → 'Önizleme alınamadı: missing access token' toast'ı</t>
        </is>
      </c>
      <c r="K6" s="41" t="inlineStr">
        <is>
          <t>Koşum raporu: docs/uat/2026-07-08-05-veri-yukleme-kosum-raporu.md</t>
        </is>
      </c>
      <c r="L6" s="42" t="inlineStr">
        <is>
          <t>Multipart preview/upload fetch'i apiRequest'in 401→refresh→retry sarmalayıcısına bağlanmalı.</t>
        </is>
      </c>
      <c r="M6" s="41" t="inlineStr">
        <is>
          <t>Açık</t>
        </is>
      </c>
    </row>
    <row r="7" ht="40" customHeight="1">
      <c r="A7" s="39" t="inlineStr">
        <is>
          <t>HATA-05</t>
        </is>
      </c>
      <c r="B7" s="39" t="inlineStr">
        <is>
          <t>08.07.2026</t>
        </is>
      </c>
      <c r="C7" s="39" t="inlineStr">
        <is>
          <t>UAT-ANL-09</t>
        </is>
      </c>
      <c r="D7" s="39" t="inlineStr">
        <is>
          <t>07 · Ayarlar (Kullanıcılar)</t>
        </is>
      </c>
      <c r="E7" s="39" t="inlineStr">
        <is>
          <t>Yüksek</t>
        </is>
      </c>
      <c r="F7" s="39" t="inlineStr">
        <is>
          <t>Claude (otomasyon)</t>
        </is>
      </c>
      <c r="G7" s="40" t="inlineStr">
        <is>
          <t>Kullanıcılar sayfasının ürettiği davet bağlantısı 404 veriyor</t>
        </is>
      </c>
      <c r="H7" s="40" t="inlineStr">
        <is>
          <t>Ayarlar → Kullanıcılar → davet oluştur → gösterilen bağlantıyı aç</t>
        </is>
      </c>
      <c r="I7" s="40" t="inlineStr">
        <is>
          <t>/invite/&lt;token&gt; kabul sayfası açılır</t>
        </is>
      </c>
      <c r="J7" s="40" t="inlineStr">
        <is>
          <t>Bağlantı /invitations/&lt;token&gt; üretiliyor → 404 (kabul route'u /invite/[token])</t>
        </is>
      </c>
      <c r="K7" s="39" t="inlineStr">
        <is>
          <t>Koşum raporu: docs/uat/2026-07-08-05-veri-yukleme-kosum-raporu.md</t>
        </is>
      </c>
      <c r="L7" s="40" t="inlineStr">
        <is>
          <t>settings/users/page.tsx:158 '/invitations/' → '/invite/' olmalı. Karşılaştırma: tenant-create-dialog.tsx:366 doğru üretiyor. ANL-09 koşumunda canlıda doğrulandı.</t>
        </is>
      </c>
      <c r="M7" s="39" t="inlineStr">
        <is>
          <t>Açık</t>
        </is>
      </c>
    </row>
    <row r="8" ht="40" customHeight="1">
      <c r="A8" s="41" t="inlineStr">
        <is>
          <t>HATA-06</t>
        </is>
      </c>
      <c r="B8" s="41" t="inlineStr">
        <is>
          <t>08.07.2026</t>
        </is>
      </c>
      <c r="C8" s="41" t="inlineStr">
        <is>
          <t>UAT-UPL-08</t>
        </is>
      </c>
      <c r="D8" s="41" t="inlineStr">
        <is>
          <t>05 · Veri Yükleme</t>
        </is>
      </c>
      <c r="E8" s="41" t="inlineStr">
        <is>
          <t>Düşük</t>
        </is>
      </c>
      <c r="F8" s="41" t="inlineStr">
        <is>
          <t>Claude (otomasyon)</t>
        </is>
      </c>
      <c r="G8" s="42" t="inlineStr">
        <is>
          <t>Eski 'text' kolonlu dosyada 'Metin sütunu' alanı güncellenmiyor</t>
        </is>
      </c>
      <c r="H8" s="42" t="inlineStr">
        <is>
          <t>Sadece 'text' kolonu olan dosya yükle → Adım 2</t>
        </is>
      </c>
      <c r="I8" s="42" t="inlineStr">
        <is>
          <t>Metin sütunu alanı 'text' olarak tespit edilir</t>
        </is>
      </c>
      <c r="J8" s="42" t="inlineStr">
        <is>
          <t>Alan 'yorum' kalıyor (dosya kabul ediliyor, yükleme yine başarılı)</t>
        </is>
      </c>
      <c r="K8" s="41" t="inlineStr">
        <is>
          <t>Koşum raporu: docs/uat/2026-07-08-05-veri-yukleme-kosum-raporu.md</t>
        </is>
      </c>
      <c r="L8" s="42" t="inlineStr">
        <is>
          <t>Preview'un text tespiti 'Metin sütunu' input'uyla senkronlanmalı.</t>
        </is>
      </c>
      <c r="M8" s="41" t="inlineStr">
        <is>
          <t>Açık</t>
        </is>
      </c>
    </row>
    <row r="9" ht="40" customHeight="1">
      <c r="A9" s="39" t="inlineStr">
        <is>
          <t>HATA-07</t>
        </is>
      </c>
      <c r="B9" s="39" t="inlineStr">
        <is>
          <t>08.07.2026</t>
        </is>
      </c>
      <c r="C9" s="39" t="inlineStr">
        <is>
          <t>UAT-ANL-08</t>
        </is>
      </c>
      <c r="D9" s="39" t="inlineStr">
        <is>
          <t>05 · Veri Yükleme</t>
        </is>
      </c>
      <c r="E9" s="39" t="inlineStr">
        <is>
          <t>Düşük</t>
        </is>
      </c>
      <c r="F9" s="39" t="inlineStr">
        <is>
          <t>Claude (otomasyon)</t>
        </is>
      </c>
      <c r="G9" s="40" t="inlineStr">
        <is>
          <t>NPS doğrulama mesajı native tarayıcı metni</t>
        </is>
      </c>
      <c r="H9" s="40" t="inlineStr">
        <is>
          <t>NPS alanına 11 yaz → Analiz Et</t>
        </is>
      </c>
      <c r="I9" s="40" t="inlineStr">
        <is>
          <t>'NPS 0 ile 10 arasında olmalı.'</t>
        </is>
      </c>
      <c r="J9" s="40" t="inlineStr">
        <is>
          <t>Tarayıcı yerleşik mesajı: 'Değer 10 veya daha küçük olmalıdır.'</t>
        </is>
      </c>
      <c r="K9" s="39" t="inlineStr">
        <is>
          <t>Koşum raporu: docs/uat/2026-07-08-05-veri-yukleme-kosum-raporu.md</t>
        </is>
      </c>
      <c r="L9" s="40" t="inlineStr">
        <is>
          <t>Özel doğrulama mesajı eklenebilir (davranış doğru, metin kozmetik).</t>
        </is>
      </c>
      <c r="M9" s="39" t="inlineStr">
        <is>
          <t>Açık</t>
        </is>
      </c>
    </row>
    <row r="10" ht="40" customHeight="1">
      <c r="A10" s="41" t="inlineStr">
        <is>
          <t>HATA-08</t>
        </is>
      </c>
      <c r="B10" s="41" t="inlineStr">
        <is>
          <t>08.07.2026</t>
        </is>
      </c>
      <c r="C10" s="41" t="inlineStr">
        <is>
          <t>UAT-UPL-01</t>
        </is>
      </c>
      <c r="D10" s="41" t="inlineStr">
        <is>
          <t>05 · Veri Yükleme</t>
        </is>
      </c>
      <c r="E10" s="41" t="inlineStr">
        <is>
          <t>Düşük</t>
        </is>
      </c>
      <c r="F10" s="41" t="inlineStr">
        <is>
          <t>Claude (otomasyon)</t>
        </is>
      </c>
      <c r="G10" s="42" t="inlineStr">
        <is>
          <t>Şablon indirmesinde dosya adı gelmiyor</t>
        </is>
      </c>
      <c r="H10" s="42" t="inlineStr">
        <is>
          <t>Toplu Yükleme → Şablonu İndir</t>
        </is>
      </c>
      <c r="I10" s="42" t="inlineStr">
        <is>
          <t>imga-toplu-yukleme-sablonu.xlsx adıyla iner</t>
        </is>
      </c>
      <c r="J10" s="42" t="inlineStr">
        <is>
          <t>GUID'li .tmp adıyla indi (içerik doğru xlsx)</t>
        </is>
      </c>
      <c r="K10" s="41" t="inlineStr">
        <is>
          <t>Koşum raporu: docs/uat/2026-07-08-05-veri-yukleme-kosum-raporu.md</t>
        </is>
      </c>
      <c r="L10" s="42" t="inlineStr">
        <is>
          <t>Content-Disposition başlığı / indirme adlandırması kontrol edilmeli.</t>
        </is>
      </c>
      <c r="M10" s="41" t="inlineStr">
        <is>
          <t>Açık</t>
        </is>
      </c>
    </row>
    <row r="11" ht="40" customHeight="1">
      <c r="A11" s="39" t="inlineStr">
        <is>
          <t>HATA-09</t>
        </is>
      </c>
      <c r="B11" s="39" t="inlineStr">
        <is>
          <t>08.07.2026</t>
        </is>
      </c>
      <c r="C11" s="39" t="inlineStr">
        <is>
          <t>UAT-UPL-15</t>
        </is>
      </c>
      <c r="D11" s="39" t="inlineStr">
        <is>
          <t>05 · Veri Yükleme</t>
        </is>
      </c>
      <c r="E11" s="39" t="inlineStr">
        <is>
          <t>Düşük</t>
        </is>
      </c>
      <c r="F11" s="39" t="inlineStr">
        <is>
          <t>Claude (otomasyon)</t>
        </is>
      </c>
      <c r="G11" s="40" t="inlineStr">
        <is>
          <t>Geçmiş Yüklemeler'de 'Tamamlandı' rozeti yeşil değil turuncu</t>
        </is>
      </c>
      <c r="H11" s="40" t="inlineStr">
        <is>
          <t>Geçmiş Yüklemeler sayfasını aç</t>
        </is>
      </c>
      <c r="I11" s="40" t="inlineStr">
        <is>
          <t>tamamlandı=yeşil, işleniyor=sarı, başarısız=kırmızı rozetler</t>
        </is>
      </c>
      <c r="J11" s="40" t="inlineStr">
        <is>
          <t>'Tamamlandı' turuncu rozet; 'İptal' rozetsiz düz metin</t>
        </is>
      </c>
      <c r="K11" s="39" t="inlineStr">
        <is>
          <t>Koşum raporu: docs/uat/2026-07-08-05-veri-yukleme-kosum-raporu.md</t>
        </is>
      </c>
      <c r="L11" s="40" t="inlineStr">
        <is>
          <t>Durum → renk eşlemesi gözden geçirilmeli.</t>
        </is>
      </c>
      <c r="M11" s="39" t="inlineStr">
        <is>
          <t>Açık</t>
        </is>
      </c>
    </row>
    <row r="12" ht="40" customHeight="1">
      <c r="A12" s="41" t="inlineStr">
        <is>
          <t>HATA-10</t>
        </is>
      </c>
      <c r="B12" s="41" t="inlineStr">
        <is>
          <t>08.07.2026</t>
        </is>
      </c>
      <c r="C12" s="41" t="inlineStr">
        <is>
          <t>UAT-ANL-09</t>
        </is>
      </c>
      <c r="D12" s="41" t="inlineStr">
        <is>
          <t>Genel (ForbiddenNotice)</t>
        </is>
      </c>
      <c r="E12" s="41" t="inlineStr">
        <is>
          <t>Düşük</t>
        </is>
      </c>
      <c r="F12" s="41" t="inlineStr">
        <is>
          <t>Claude (otomasyon)</t>
        </is>
      </c>
      <c r="G12" s="42" t="inlineStr">
        <is>
          <t>'Yetkiniz yok' açıklaması bağlamdan bağımsız (ayar-odaklı cümle)</t>
        </is>
      </c>
      <c r="H12" s="42" t="inlineStr">
        <is>
          <t>İzleyici ile /analyze aç</t>
        </is>
      </c>
      <c r="I12" s="42" t="inlineStr">
        <is>
          <t>Genel bir yetki mesajı</t>
        </is>
      </c>
      <c r="J12" s="42" t="inlineStr">
        <is>
          <t>'Kurum yapılandırması yalnızca yöneticiler tarafından düzenlenebilir...' (analiz sayfasında ayar metni)</t>
        </is>
      </c>
      <c r="K12" s="41" t="inlineStr">
        <is>
          <t>Koşum raporu: docs/uat/2026-07-08-05-veri-yukleme-kosum-raporu.md</t>
        </is>
      </c>
      <c r="L12" s="42" t="inlineStr">
        <is>
          <t>ForbiddenNotice metni bağlama göre parametreleşebilir.</t>
        </is>
      </c>
      <c r="M12" s="41" t="inlineStr">
        <is>
          <t>Açık</t>
        </is>
      </c>
    </row>
    <row r="13" ht="40" customHeight="1">
      <c r="A13" s="39" t="inlineStr"/>
      <c r="B13" s="39" t="inlineStr"/>
      <c r="C13" s="39" t="inlineStr"/>
      <c r="D13" s="39" t="inlineStr"/>
      <c r="E13" s="39" t="inlineStr"/>
      <c r="F13" s="39" t="inlineStr"/>
      <c r="G13" s="40" t="inlineStr"/>
      <c r="H13" s="40" t="inlineStr"/>
      <c r="I13" s="40" t="inlineStr"/>
      <c r="J13" s="40" t="inlineStr"/>
      <c r="K13" s="39" t="inlineStr"/>
      <c r="L13" s="40" t="inlineStr"/>
      <c r="M13" s="39" t="inlineStr"/>
    </row>
    <row r="14" ht="40" customHeight="1">
      <c r="A14" s="41" t="inlineStr"/>
      <c r="B14" s="41" t="inlineStr"/>
      <c r="C14" s="41" t="inlineStr"/>
      <c r="D14" s="41" t="inlineStr"/>
      <c r="E14" s="41" t="inlineStr"/>
      <c r="F14" s="41" t="inlineStr"/>
      <c r="G14" s="42" t="inlineStr"/>
      <c r="H14" s="42" t="inlineStr"/>
      <c r="I14" s="42" t="inlineStr"/>
      <c r="J14" s="42" t="inlineStr"/>
      <c r="K14" s="41" t="inlineStr"/>
      <c r="L14" s="42" t="inlineStr"/>
      <c r="M14" s="41" t="inlineStr"/>
    </row>
    <row r="15" ht="40" customHeight="1">
      <c r="A15" s="39" t="inlineStr"/>
      <c r="B15" s="39" t="inlineStr"/>
      <c r="C15" s="39" t="inlineStr"/>
      <c r="D15" s="39" t="inlineStr"/>
      <c r="E15" s="39" t="inlineStr"/>
      <c r="F15" s="39" t="inlineStr"/>
      <c r="G15" s="40" t="inlineStr"/>
      <c r="H15" s="40" t="inlineStr"/>
      <c r="I15" s="40" t="inlineStr"/>
      <c r="J15" s="40" t="inlineStr"/>
      <c r="K15" s="39" t="inlineStr"/>
      <c r="L15" s="40" t="inlineStr"/>
      <c r="M15" s="39" t="inlineStr"/>
    </row>
    <row r="16" ht="40" customHeight="1">
      <c r="A16" s="41" t="inlineStr"/>
      <c r="B16" s="41" t="inlineStr"/>
      <c r="C16" s="41" t="inlineStr"/>
      <c r="D16" s="41" t="inlineStr"/>
      <c r="E16" s="41" t="inlineStr"/>
      <c r="F16" s="41" t="inlineStr"/>
      <c r="G16" s="42" t="inlineStr"/>
      <c r="H16" s="42" t="inlineStr"/>
      <c r="I16" s="42" t="inlineStr"/>
      <c r="J16" s="42" t="inlineStr"/>
      <c r="K16" s="41" t="inlineStr"/>
      <c r="L16" s="42" t="inlineStr"/>
      <c r="M16" s="41" t="inlineStr"/>
    </row>
    <row r="17" ht="40" customHeight="1">
      <c r="A17" s="39" t="inlineStr"/>
      <c r="B17" s="39" t="inlineStr"/>
      <c r="C17" s="39" t="inlineStr"/>
      <c r="D17" s="39" t="inlineStr"/>
      <c r="E17" s="39" t="inlineStr"/>
      <c r="F17" s="39" t="inlineStr"/>
      <c r="G17" s="40" t="inlineStr"/>
      <c r="H17" s="40" t="inlineStr"/>
      <c r="I17" s="40" t="inlineStr"/>
      <c r="J17" s="40" t="inlineStr"/>
      <c r="K17" s="39" t="inlineStr"/>
      <c r="L17" s="40" t="inlineStr"/>
      <c r="M17" s="39" t="inlineStr"/>
    </row>
    <row r="18" ht="40" customHeight="1">
      <c r="A18" s="41" t="inlineStr"/>
      <c r="B18" s="41" t="inlineStr"/>
      <c r="C18" s="41" t="inlineStr"/>
      <c r="D18" s="41" t="inlineStr"/>
      <c r="E18" s="41" t="inlineStr"/>
      <c r="F18" s="41" t="inlineStr"/>
      <c r="G18" s="42" t="inlineStr"/>
      <c r="H18" s="42" t="inlineStr"/>
      <c r="I18" s="42" t="inlineStr"/>
      <c r="J18" s="42" t="inlineStr"/>
      <c r="K18" s="41" t="inlineStr"/>
      <c r="L18" s="42" t="inlineStr"/>
      <c r="M18" s="41" t="inlineStr"/>
    </row>
    <row r="19" ht="40" customHeight="1">
      <c r="A19" s="39" t="inlineStr"/>
      <c r="B19" s="39" t="inlineStr"/>
      <c r="C19" s="39" t="inlineStr"/>
      <c r="D19" s="39" t="inlineStr"/>
      <c r="E19" s="39" t="inlineStr"/>
      <c r="F19" s="39" t="inlineStr"/>
      <c r="G19" s="40" t="inlineStr"/>
      <c r="H19" s="40" t="inlineStr"/>
      <c r="I19" s="40" t="inlineStr"/>
      <c r="J19" s="40" t="inlineStr"/>
      <c r="K19" s="39" t="inlineStr"/>
      <c r="L19" s="40" t="inlineStr"/>
      <c r="M19" s="39" t="inlineStr"/>
    </row>
    <row r="20" ht="40" customHeight="1">
      <c r="A20" s="41" t="inlineStr"/>
      <c r="B20" s="41" t="inlineStr"/>
      <c r="C20" s="41" t="inlineStr"/>
      <c r="D20" s="41" t="inlineStr"/>
      <c r="E20" s="41" t="inlineStr"/>
      <c r="F20" s="41" t="inlineStr"/>
      <c r="G20" s="42" t="inlineStr"/>
      <c r="H20" s="42" t="inlineStr"/>
      <c r="I20" s="42" t="inlineStr"/>
      <c r="J20" s="42" t="inlineStr"/>
      <c r="K20" s="41" t="inlineStr"/>
      <c r="L20" s="42" t="inlineStr"/>
      <c r="M20" s="41" t="inlineStr"/>
    </row>
    <row r="21" ht="40" customHeight="1">
      <c r="A21" s="39" t="inlineStr"/>
      <c r="B21" s="39" t="inlineStr"/>
      <c r="C21" s="39" t="inlineStr"/>
      <c r="D21" s="39" t="inlineStr"/>
      <c r="E21" s="39" t="inlineStr"/>
      <c r="F21" s="39" t="inlineStr"/>
      <c r="G21" s="40" t="inlineStr"/>
      <c r="H21" s="40" t="inlineStr"/>
      <c r="I21" s="40" t="inlineStr"/>
      <c r="J21" s="40" t="inlineStr"/>
      <c r="K21" s="39" t="inlineStr"/>
      <c r="L21" s="40" t="inlineStr"/>
      <c r="M21" s="39" t="inlineStr"/>
    </row>
    <row r="22" ht="40" customHeight="1">
      <c r="A22" s="41" t="inlineStr"/>
      <c r="B22" s="41" t="inlineStr"/>
      <c r="C22" s="41" t="inlineStr"/>
      <c r="D22" s="41" t="inlineStr"/>
      <c r="E22" s="41" t="inlineStr"/>
      <c r="F22" s="41" t="inlineStr"/>
      <c r="G22" s="42" t="inlineStr"/>
      <c r="H22" s="42" t="inlineStr"/>
      <c r="I22" s="42" t="inlineStr"/>
      <c r="J22" s="42" t="inlineStr"/>
      <c r="K22" s="41" t="inlineStr"/>
      <c r="L22" s="42" t="inlineStr"/>
      <c r="M22" s="41" t="inlineStr"/>
    </row>
    <row r="23" ht="40" customHeight="1">
      <c r="A23" s="39" t="inlineStr"/>
      <c r="B23" s="39" t="inlineStr"/>
      <c r="C23" s="39" t="inlineStr"/>
      <c r="D23" s="39" t="inlineStr"/>
      <c r="E23" s="39" t="inlineStr"/>
      <c r="F23" s="39" t="inlineStr"/>
      <c r="G23" s="40" t="inlineStr"/>
      <c r="H23" s="40" t="inlineStr"/>
      <c r="I23" s="40" t="inlineStr"/>
      <c r="J23" s="40" t="inlineStr"/>
      <c r="K23" s="39" t="inlineStr"/>
      <c r="L23" s="40" t="inlineStr"/>
      <c r="M23" s="39" t="inlineStr"/>
    </row>
    <row r="24" ht="40" customHeight="1">
      <c r="A24" s="41" t="inlineStr"/>
      <c r="B24" s="41" t="inlineStr"/>
      <c r="C24" s="41" t="inlineStr"/>
      <c r="D24" s="41" t="inlineStr"/>
      <c r="E24" s="41" t="inlineStr"/>
      <c r="F24" s="41" t="inlineStr"/>
      <c r="G24" s="42" t="inlineStr"/>
      <c r="H24" s="42" t="inlineStr"/>
      <c r="I24" s="42" t="inlineStr"/>
      <c r="J24" s="42" t="inlineStr"/>
      <c r="K24" s="41" t="inlineStr"/>
      <c r="L24" s="42" t="inlineStr"/>
      <c r="M24" s="41" t="inlineStr"/>
    </row>
    <row r="25" ht="40" customHeight="1">
      <c r="A25" s="39" t="inlineStr"/>
      <c r="B25" s="39" t="inlineStr"/>
      <c r="C25" s="39" t="inlineStr"/>
      <c r="D25" s="39" t="inlineStr"/>
      <c r="E25" s="39" t="inlineStr"/>
      <c r="F25" s="39" t="inlineStr"/>
      <c r="G25" s="40" t="inlineStr"/>
      <c r="H25" s="40" t="inlineStr"/>
      <c r="I25" s="40" t="inlineStr"/>
      <c r="J25" s="40" t="inlineStr"/>
      <c r="K25" s="39" t="inlineStr"/>
      <c r="L25" s="40" t="inlineStr"/>
      <c r="M25" s="39" t="inlineStr"/>
    </row>
    <row r="26" ht="40" customHeight="1">
      <c r="A26" s="41" t="inlineStr"/>
      <c r="B26" s="41" t="inlineStr"/>
      <c r="C26" s="41" t="inlineStr"/>
      <c r="D26" s="41" t="inlineStr"/>
      <c r="E26" s="41" t="inlineStr"/>
      <c r="F26" s="41" t="inlineStr"/>
      <c r="G26" s="42" t="inlineStr"/>
      <c r="H26" s="42" t="inlineStr"/>
      <c r="I26" s="42" t="inlineStr"/>
      <c r="J26" s="42" t="inlineStr"/>
      <c r="K26" s="41" t="inlineStr"/>
      <c r="L26" s="42" t="inlineStr"/>
      <c r="M26" s="41" t="inlineStr"/>
    </row>
    <row r="27" ht="40" customHeight="1">
      <c r="A27" s="39" t="inlineStr"/>
      <c r="B27" s="39" t="inlineStr"/>
      <c r="C27" s="39" t="inlineStr"/>
      <c r="D27" s="39" t="inlineStr"/>
      <c r="E27" s="39" t="inlineStr"/>
      <c r="F27" s="39" t="inlineStr"/>
      <c r="G27" s="40" t="inlineStr"/>
      <c r="H27" s="40" t="inlineStr"/>
      <c r="I27" s="40" t="inlineStr"/>
      <c r="J27" s="40" t="inlineStr"/>
      <c r="K27" s="39" t="inlineStr"/>
      <c r="L27" s="40" t="inlineStr"/>
      <c r="M27" s="39" t="inlineStr"/>
    </row>
    <row r="28" ht="40" customHeight="1">
      <c r="A28" s="41" t="inlineStr"/>
      <c r="B28" s="41" t="inlineStr"/>
      <c r="C28" s="41" t="inlineStr"/>
      <c r="D28" s="41" t="inlineStr"/>
      <c r="E28" s="41" t="inlineStr"/>
      <c r="F28" s="41" t="inlineStr"/>
      <c r="G28" s="42" t="inlineStr"/>
      <c r="H28" s="42" t="inlineStr"/>
      <c r="I28" s="42" t="inlineStr"/>
      <c r="J28" s="42" t="inlineStr"/>
      <c r="K28" s="41" t="inlineStr"/>
      <c r="L28" s="42" t="inlineStr"/>
      <c r="M28" s="41" t="inlineStr"/>
    </row>
    <row r="29" ht="40" customHeight="1">
      <c r="A29" s="39" t="inlineStr"/>
      <c r="B29" s="39" t="inlineStr"/>
      <c r="C29" s="39" t="inlineStr"/>
      <c r="D29" s="39" t="inlineStr"/>
      <c r="E29" s="39" t="inlineStr"/>
      <c r="F29" s="39" t="inlineStr"/>
      <c r="G29" s="40" t="inlineStr"/>
      <c r="H29" s="40" t="inlineStr"/>
      <c r="I29" s="40" t="inlineStr"/>
      <c r="J29" s="40" t="inlineStr"/>
      <c r="K29" s="39" t="inlineStr"/>
      <c r="L29" s="40" t="inlineStr"/>
      <c r="M29" s="39" t="inlineStr"/>
    </row>
    <row r="30" ht="40" customHeight="1">
      <c r="A30" s="41" t="inlineStr"/>
      <c r="B30" s="41" t="inlineStr"/>
      <c r="C30" s="41" t="inlineStr"/>
      <c r="D30" s="41" t="inlineStr"/>
      <c r="E30" s="41" t="inlineStr"/>
      <c r="F30" s="41" t="inlineStr"/>
      <c r="G30" s="42" t="inlineStr"/>
      <c r="H30" s="42" t="inlineStr"/>
      <c r="I30" s="42" t="inlineStr"/>
      <c r="J30" s="42" t="inlineStr"/>
      <c r="K30" s="41" t="inlineStr"/>
      <c r="L30" s="42" t="inlineStr"/>
      <c r="M30" s="41" t="inlineStr"/>
    </row>
    <row r="31" ht="40" customHeight="1">
      <c r="A31" s="39" t="inlineStr"/>
      <c r="B31" s="39" t="inlineStr"/>
      <c r="C31" s="39" t="inlineStr"/>
      <c r="D31" s="39" t="inlineStr"/>
      <c r="E31" s="39" t="inlineStr"/>
      <c r="F31" s="39" t="inlineStr"/>
      <c r="G31" s="40" t="inlineStr"/>
      <c r="H31" s="40" t="inlineStr"/>
      <c r="I31" s="40" t="inlineStr"/>
      <c r="J31" s="40" t="inlineStr"/>
      <c r="K31" s="39" t="inlineStr"/>
      <c r="L31" s="40" t="inlineStr"/>
      <c r="M31" s="39" t="inlineStr"/>
    </row>
    <row r="32" ht="40" customHeight="1">
      <c r="A32" s="41" t="inlineStr"/>
      <c r="B32" s="41" t="inlineStr"/>
      <c r="C32" s="41" t="inlineStr"/>
      <c r="D32" s="41" t="inlineStr"/>
      <c r="E32" s="41" t="inlineStr"/>
      <c r="F32" s="41" t="inlineStr"/>
      <c r="G32" s="42" t="inlineStr"/>
      <c r="H32" s="42" t="inlineStr"/>
      <c r="I32" s="42" t="inlineStr"/>
      <c r="J32" s="42" t="inlineStr"/>
      <c r="K32" s="41" t="inlineStr"/>
      <c r="L32" s="42" t="inlineStr"/>
      <c r="M32" s="41" t="inlineStr"/>
    </row>
    <row r="33" ht="40" customHeight="1">
      <c r="A33" s="39" t="inlineStr"/>
      <c r="B33" s="39" t="inlineStr"/>
      <c r="C33" s="39" t="inlineStr"/>
      <c r="D33" s="39" t="inlineStr"/>
      <c r="E33" s="39" t="inlineStr"/>
      <c r="F33" s="39" t="inlineStr"/>
      <c r="G33" s="40" t="inlineStr"/>
      <c r="H33" s="40" t="inlineStr"/>
      <c r="I33" s="40" t="inlineStr"/>
      <c r="J33" s="40" t="inlineStr"/>
      <c r="K33" s="39" t="inlineStr"/>
      <c r="L33" s="40" t="inlineStr"/>
      <c r="M33" s="39" t="inlineStr"/>
    </row>
    <row r="34" ht="40" customHeight="1">
      <c r="A34" s="41" t="inlineStr"/>
      <c r="B34" s="41" t="inlineStr"/>
      <c r="C34" s="41" t="inlineStr"/>
      <c r="D34" s="41" t="inlineStr"/>
      <c r="E34" s="41" t="inlineStr"/>
      <c r="F34" s="41" t="inlineStr"/>
      <c r="G34" s="42" t="inlineStr"/>
      <c r="H34" s="42" t="inlineStr"/>
      <c r="I34" s="42" t="inlineStr"/>
      <c r="J34" s="42" t="inlineStr"/>
      <c r="K34" s="41" t="inlineStr"/>
      <c r="L34" s="42" t="inlineStr"/>
      <c r="M34" s="41" t="inlineStr"/>
    </row>
    <row r="35" ht="40" customHeight="1">
      <c r="A35" s="39" t="inlineStr"/>
      <c r="B35" s="39" t="inlineStr"/>
      <c r="C35" s="39" t="inlineStr"/>
      <c r="D35" s="39" t="inlineStr"/>
      <c r="E35" s="39" t="inlineStr"/>
      <c r="F35" s="39" t="inlineStr"/>
      <c r="G35" s="40" t="inlineStr"/>
      <c r="H35" s="40" t="inlineStr"/>
      <c r="I35" s="40" t="inlineStr"/>
      <c r="J35" s="40" t="inlineStr"/>
      <c r="K35" s="39" t="inlineStr"/>
      <c r="L35" s="40" t="inlineStr"/>
      <c r="M35" s="39" t="inlineStr"/>
    </row>
    <row r="36" ht="40" customHeight="1">
      <c r="A36" s="41" t="inlineStr"/>
      <c r="B36" s="41" t="inlineStr"/>
      <c r="C36" s="41" t="inlineStr"/>
      <c r="D36" s="41" t="inlineStr"/>
      <c r="E36" s="41" t="inlineStr"/>
      <c r="F36" s="41" t="inlineStr"/>
      <c r="G36" s="42" t="inlineStr"/>
      <c r="H36" s="42" t="inlineStr"/>
      <c r="I36" s="42" t="inlineStr"/>
      <c r="J36" s="42" t="inlineStr"/>
      <c r="K36" s="41" t="inlineStr"/>
      <c r="L36" s="42" t="inlineStr"/>
      <c r="M36" s="41" t="inlineStr"/>
    </row>
    <row r="37" ht="40" customHeight="1">
      <c r="A37" s="39" t="inlineStr"/>
      <c r="B37" s="39" t="inlineStr"/>
      <c r="C37" s="39" t="inlineStr"/>
      <c r="D37" s="39" t="inlineStr"/>
      <c r="E37" s="39" t="inlineStr"/>
      <c r="F37" s="39" t="inlineStr"/>
      <c r="G37" s="40" t="inlineStr"/>
      <c r="H37" s="40" t="inlineStr"/>
      <c r="I37" s="40" t="inlineStr"/>
      <c r="J37" s="40" t="inlineStr"/>
      <c r="K37" s="39" t="inlineStr"/>
      <c r="L37" s="40" t="inlineStr"/>
      <c r="M37" s="39" t="inlineStr"/>
    </row>
    <row r="38" ht="40" customHeight="1">
      <c r="A38" s="41" t="inlineStr"/>
      <c r="B38" s="41" t="inlineStr"/>
      <c r="C38" s="41" t="inlineStr"/>
      <c r="D38" s="41" t="inlineStr"/>
      <c r="E38" s="41" t="inlineStr"/>
      <c r="F38" s="41" t="inlineStr"/>
      <c r="G38" s="42" t="inlineStr"/>
      <c r="H38" s="42" t="inlineStr"/>
      <c r="I38" s="42" t="inlineStr"/>
      <c r="J38" s="42" t="inlineStr"/>
      <c r="K38" s="41" t="inlineStr"/>
      <c r="L38" s="42" t="inlineStr"/>
      <c r="M38" s="41" t="inlineStr"/>
    </row>
    <row r="39" ht="40" customHeight="1">
      <c r="A39" s="39" t="inlineStr"/>
      <c r="B39" s="39" t="inlineStr"/>
      <c r="C39" s="39" t="inlineStr"/>
      <c r="D39" s="39" t="inlineStr"/>
      <c r="E39" s="39" t="inlineStr"/>
      <c r="F39" s="39" t="inlineStr"/>
      <c r="G39" s="40" t="inlineStr"/>
      <c r="H39" s="40" t="inlineStr"/>
      <c r="I39" s="40" t="inlineStr"/>
      <c r="J39" s="40" t="inlineStr"/>
      <c r="K39" s="39" t="inlineStr"/>
      <c r="L39" s="40" t="inlineStr"/>
      <c r="M39" s="39" t="inlineStr"/>
    </row>
    <row r="40" ht="40" customHeight="1">
      <c r="A40" s="41" t="inlineStr"/>
      <c r="B40" s="41" t="inlineStr"/>
      <c r="C40" s="41" t="inlineStr"/>
      <c r="D40" s="41" t="inlineStr"/>
      <c r="E40" s="41" t="inlineStr"/>
      <c r="F40" s="41" t="inlineStr"/>
      <c r="G40" s="42" t="inlineStr"/>
      <c r="H40" s="42" t="inlineStr"/>
      <c r="I40" s="42" t="inlineStr"/>
      <c r="J40" s="42" t="inlineStr"/>
      <c r="K40" s="41" t="inlineStr"/>
      <c r="L40" s="42" t="inlineStr"/>
      <c r="M40" s="41" t="inlineStr"/>
    </row>
    <row r="41" ht="40" customHeight="1">
      <c r="A41" s="39" t="inlineStr"/>
      <c r="B41" s="39" t="inlineStr"/>
      <c r="C41" s="39" t="inlineStr"/>
      <c r="D41" s="39" t="inlineStr"/>
      <c r="E41" s="39" t="inlineStr"/>
      <c r="F41" s="39" t="inlineStr"/>
      <c r="G41" s="40" t="inlineStr"/>
      <c r="H41" s="40" t="inlineStr"/>
      <c r="I41" s="40" t="inlineStr"/>
      <c r="J41" s="40" t="inlineStr"/>
      <c r="K41" s="39" t="inlineStr"/>
      <c r="L41" s="40" t="inlineStr"/>
      <c r="M41" s="39" t="inlineStr"/>
    </row>
    <row r="42" ht="40" customHeight="1">
      <c r="A42" s="41" t="inlineStr"/>
      <c r="B42" s="41" t="inlineStr"/>
      <c r="C42" s="41" t="inlineStr"/>
      <c r="D42" s="41" t="inlineStr"/>
      <c r="E42" s="41" t="inlineStr"/>
      <c r="F42" s="41" t="inlineStr"/>
      <c r="G42" s="42" t="inlineStr"/>
      <c r="H42" s="42" t="inlineStr"/>
      <c r="I42" s="42" t="inlineStr"/>
      <c r="J42" s="42" t="inlineStr"/>
      <c r="K42" s="41" t="inlineStr"/>
      <c r="L42" s="42" t="inlineStr"/>
      <c r="M42" s="41" t="inlineStr"/>
    </row>
  </sheetData>
  <autoFilter ref="A2:M42"/>
  <mergeCells count="1">
    <mergeCell ref="A1:M1"/>
  </mergeCells>
  <conditionalFormatting sqref="E3:E42">
    <cfRule type="cellIs" priority="1" operator="equal" dxfId="1">
      <formula>"Kritik"</formula>
    </cfRule>
    <cfRule type="cellIs" priority="3" operator="equal" dxfId="2">
      <formula>"Yüksek"</formula>
    </cfRule>
    <cfRule type="cellIs" priority="5" operator="equal" dxfId="0">
      <formula>"Düzeltildi"</formula>
    </cfRule>
    <cfRule type="cellIs" priority="7" operator="equal" dxfId="0">
      <formula>"Kapandı"</formula>
    </cfRule>
  </conditionalFormatting>
  <conditionalFormatting sqref="M3:M42">
    <cfRule type="cellIs" priority="2" operator="equal" dxfId="1">
      <formula>"Kritik"</formula>
    </cfRule>
    <cfRule type="cellIs" priority="4" operator="equal" dxfId="2">
      <formula>"Yüksek"</formula>
    </cfRule>
    <cfRule type="cellIs" priority="6" operator="equal" dxfId="0">
      <formula>"Düzeltildi"</formula>
    </cfRule>
    <cfRule type="cellIs" priority="8" operator="equal" dxfId="0">
      <formula>"Kapandı"</formula>
    </cfRule>
  </conditionalFormatting>
  <dataValidations count="2">
    <dataValidation sqref="E3:E42" showDropDown="0" showInputMessage="0" showErrorMessage="0" allowBlank="1" type="list">
      <formula1>"Kritik,Yüksek,Orta,Düşük"</formula1>
    </dataValidation>
    <dataValidation sqref="M3:M42" showDropDown="0" showInputMessage="0" showErrorMessage="0" allowBlank="1" type="list">
      <formula1>"Açık,İncelemede,Düzeltildi,Kapandı,Reddedildi"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2026-07-02T14:42:50Z</dcterms:created>
  <dcterms:modified xmlns:dcterms="http://purl.org/dc/terms/" xmlns:xsi="http://www.w3.org/2001/XMLSchema-instance" xsi:type="dcterms:W3CDTF">2026-07-09T21:38:58Z</dcterms:modified>
</cp:coreProperties>
</file>